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c200e15834ac0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Contents" sheetId="1" ns1:id="Rab75b308679f4a33"/>
    <sheet name="S1" sheetId="2" ns1:id="Rf40c8566242e4e07"/>
    <sheet name="S2" sheetId="3" ns1:id="Rc76692ae990f4a15"/>
    <sheet name="S3" sheetId="4" ns1:id="Rcaa81fd2f32446ed"/>
    <sheet name="S4" sheetId="5" ns1:id="R3859053b867b455f"/>
    <sheet name="S5" sheetId="6" ns1:id="Rb1d02a3701034aa5"/>
    <sheet name="S6" sheetId="7" ns1:id="Rbed157908ce14110"/>
    <sheet name="S7" sheetId="8" ns1:id="Rc561f7f573bc4b97"/>
    <sheet name="S8" sheetId="9" ns1:id="R00e9148d09374cc2"/>
    <sheet name="S9" sheetId="10" ns1:id="R40ff1988a2504ec6"/>
    <sheet name="S10" sheetId="11" ns1:id="R5f11d49826ca40d4"/>
    <sheet name="S11" sheetId="12" ns1:id="R4077b5bd649f4c38"/>
    <sheet name="S12" sheetId="13" ns1:id="R41174f8cac674343"/>
    <sheet name="S13" sheetId="14" ns1:id="R21a0262c146d402c"/>
    <sheet name="S14" sheetId="15" ns1:id="Rfe904dae251a4268"/>
    <sheet name="S15" sheetId="16" ns1:id="Rec7fe9f259fb4683"/>
    <sheet name="S16" sheetId="17" ns1:id="Rb9ad0b636f4a42ac"/>
    <sheet name="S17" sheetId="18" ns1:id="R7d6e75ea737246db"/>
    <sheet name="S18" sheetId="19" ns1:id="Re46c724494d6433a"/>
    <sheet name="S19" sheetId="20" ns1:id="R22d79e6faba14693"/>
    <sheet name="S20" sheetId="21" ns1:id="R5fe92315e1d04983"/>
    <sheet name="S21" sheetId="22" ns1:id="R2a757c58164d4563"/>
    <sheet name="S22" sheetId="23" ns1:id="Rba2ad32a51004f51"/>
  </sheets>
  <definedNames>
    <definedName name="_xlnm.Print_Area" localSheetId="0">'Contents'!$B$2:$E$35</definedName>
    <definedName name="_xlnm.Print_Area" localSheetId="1">'S1'!$B$2:$M$34</definedName>
    <definedName name="_xlnm.Print_Titles" localSheetId="1">'S1'!$7:$7,'S1'!$B:$B</definedName>
    <definedName name="_xlnm.Print_Area" localSheetId="2">'S2'!$B$2:$H$101</definedName>
    <definedName name="_xlnm.Print_Titles" localSheetId="2">'S2'!$7:$7,'S2'!$B:$B</definedName>
    <definedName name="_xlnm.Print_Area" localSheetId="3">'S3'!$B$2:$R$29</definedName>
    <definedName name="_xlnm.Print_Titles" localSheetId="3">'S3'!$7:$7,'S3'!$B:$B</definedName>
    <definedName name="_xlnm.Print_Area" localSheetId="4">'S4'!$B$2:$J$39</definedName>
    <definedName name="_xlnm.Print_Titles" localSheetId="4">'S4'!$7:$7,'S4'!$B:$B</definedName>
    <definedName name="_xlnm.Print_Area" localSheetId="5">'S5'!$B$2:$H$25</definedName>
    <definedName name="_xlnm.Print_Titles" localSheetId="5">'S5'!$7:$7,'S5'!$B:$B</definedName>
    <definedName name="_xlnm.Print_Area" localSheetId="6">'S6'!$B$2:$R$86</definedName>
    <definedName name="_xlnm.Print_Titles" localSheetId="6">'S6'!$7:$7,'S6'!$B:$B</definedName>
    <definedName name="_xlnm.Print_Area" localSheetId="7">'S7'!$B$2:$R$58</definedName>
    <definedName name="_xlnm.Print_Titles" localSheetId="7">'S7'!$7:$7,'S7'!$B:$B</definedName>
    <definedName name="_xlnm.Print_Area" localSheetId="8">'S8'!$B$2:$AA$92</definedName>
    <definedName name="_xlnm.Print_Titles" localSheetId="8">'S8'!$7:$7,'S8'!$B:$C</definedName>
    <definedName name="_xlnm.Print_Area" localSheetId="9">'S9'!$B$2:$F$46</definedName>
    <definedName name="_xlnm.Print_Titles" localSheetId="9">'S9'!$7:$7,'S9'!$B:$B</definedName>
    <definedName name="_xlnm.Print_Area" localSheetId="10">'S10'!$B$2:$J$22</definedName>
    <definedName name="_xlnm.Print_Titles" localSheetId="10">'S10'!$7:$7,'S10'!$B:$B</definedName>
    <definedName name="_xlnm.Print_Area" localSheetId="11">'S11'!$B$2:$T$26</definedName>
    <definedName name="_xlnm.Print_Titles" localSheetId="11">'S11'!$7:$7,'S11'!$B:$B</definedName>
    <definedName name="_xlnm.Print_Area" localSheetId="12">'S12'!$B$2:$H$26</definedName>
    <definedName name="_xlnm.Print_Titles" localSheetId="12">'S12'!$7:$7,'S12'!$B:$B</definedName>
    <definedName name="_xlnm.Print_Area" localSheetId="13">'S13'!$B$2:$P$34</definedName>
    <definedName name="_xlnm.Print_Titles" localSheetId="13">'S13'!$7:$7,'S13'!$B:$B</definedName>
    <definedName name="_xlnm.Print_Area" localSheetId="14">'S14'!$B$2:$G$29</definedName>
    <definedName name="_xlnm.Print_Titles" localSheetId="14">'S14'!$7:$7,'S14'!$B:$B</definedName>
    <definedName name="_xlnm.Print_Area" localSheetId="15">'S15'!$B$2:$I$30</definedName>
    <definedName name="_xlnm.Print_Titles" localSheetId="15">'S15'!$7:$7,'S15'!$B:$B</definedName>
    <definedName name="_xlnm.Print_Area" localSheetId="16">'S16'!$B$2:$M$21</definedName>
    <definedName name="_xlnm.Print_Titles" localSheetId="16">'S16'!$7:$7,'S16'!$B:$B</definedName>
    <definedName name="_xlnm.Print_Area" localSheetId="17">'S17'!$B$2:$R$36</definedName>
    <definedName name="_xlnm.Print_Titles" localSheetId="17">'S17'!$7:$7,'S17'!$B:$B</definedName>
    <definedName name="_xlnm.Print_Area" localSheetId="18">'S18'!$B$2:$K$31</definedName>
    <definedName name="_xlnm.Print_Titles" localSheetId="18">'S18'!$7:$7,'S18'!$B:$B</definedName>
    <definedName name="_xlnm.Print_Area" localSheetId="19">'S19'!$B$2:$I$189</definedName>
    <definedName name="_xlnm.Print_Titles" localSheetId="19">'S19'!$7:$7,'S19'!$B:$B</definedName>
    <definedName name="_xlnm.Print_Area" localSheetId="20">'S20'!$B$2:$F$38</definedName>
    <definedName name="_xlnm.Print_Titles" localSheetId="20">'S20'!$7:$7,'S20'!$B:$C</definedName>
    <definedName name="_xlnm.Print_Area" localSheetId="21">'S21'!$B$2:$F$128</definedName>
    <definedName name="_xlnm.Print_Titles" localSheetId="21">'S21'!$7:$7,'S21'!$B:$B</definedName>
    <definedName name="_xlnm.Print_Area" localSheetId="22">'S22'!$B$2:$K$105</definedName>
    <definedName name="_xlnm.Print_Titles" localSheetId="22">'S22'!$7:$7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"/>
    <x:numFmt numFmtId="201" formatCode="#,##0"/>
    <x:numFmt numFmtId="202" formatCode="0.0&quot;%&quot;"/>
    <x:numFmt numFmtId="203" formatCode="@"/>
    <x:numFmt numFmtId="204" formatCode="#,##0.00"/>
    <x:numFmt numFmtId="205" formatCode="0.000E+00"/>
    <x:numFmt numFmtId="206" formatCode="0.0%"/>
    <x:numFmt numFmtId="207" formatCode="0.000"/>
    <x:numFmt numFmtId="208" formatCode="0.00&quot;%&quot;"/>
    <x:numFmt numFmtId="209" formatCode="0.00"/>
  </x:numFmts>
  <x:fonts count="8">
    <x:font>
      <x:sz val="11"/>
      <x:name val="Carlito"/>
    </x:font>
    <x:font>
      <x:sz val="10"/>
      <x:color rgb="FF111111"/>
      <x:name val="Arial"/>
    </x:font>
    <x:font>
      <x:sz val="10"/>
      <x:color rgb="FF2E6F9E"/>
      <x:name val="Arial"/>
    </x:font>
    <x:font>
      <x:sz val="16"/>
      <x:color rgb="FF111111"/>
      <x:name val="Arial"/>
    </x:font>
    <x:font>
      <x:sz val="11"/>
      <x:color rgb="FF74716C"/>
      <x:name val="Arial"/>
    </x:font>
    <x:font>
      <x:sz val="10"/>
      <x:color rgb="FF74716C"/>
      <x:name val="Arial"/>
    </x:font>
    <x:font>
      <x:b/>
      <x:sz val="10"/>
      <x:color rgb="FFFFFFFF"/>
      <x:name val="Arial"/>
    </x:font>
    <x:font>
      <x:b/>
      <x:sz val="10"/>
      <x:color rgb="FF2E6F9E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E6F9E"/>
      </x:patternFill>
    </x:fill>
    <x:fill>
      <x:patternFill patternType="solid">
        <x:fgColor rgb="FFF3F6F8"/>
      </x:patternFill>
    </x:fill>
    <x:fill>
      <x:patternFill patternType="solid">
        <x:fgColor rgb="FF2E6F9E"/>
      </x:patternFill>
    </x:fill>
    <x:fill>
      <x:patternFill patternType="solid">
        <x:fgColor rgb="FFFFFFFF"/>
      </x:patternFill>
    </x:fill>
    <x:fill>
      <x:patternFill patternType="solid">
        <x:fgColor rgb="FFF3F6F8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medium">
        <x:color rgb="FFD1495B"/>
      </x:bottom>
      <x:diagonal/>
    </x:border>
    <x:border>
      <x:left/>
      <x:right/>
      <x:top style="thin">
        <x:color rgb="FFD8D6CF"/>
      </x:top>
      <x:bottom/>
      <x:diagonal/>
    </x:border>
    <x:border>
      <x:left/>
      <x:right/>
      <x:top/>
      <x:bottom style="thin">
        <x:color rgb="FFD8D6CF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right" vertical="center"/>
    </x:xf>
    <x:xf numFmtId="0" fontId="7" fillId="4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right" vertical="center"/>
    </x:xf>
    <x:xf numFmtId="0" fontId="1" fillId="2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 wrapText="0"/>
    </x:xf>
    <x:xf numFmtId="200" fontId="1" fillId="4" borderId="0" xfId="0" applyNumberFormat="1" applyFont="1" applyFill="1" applyBorder="1" applyAlignment="1">
      <x:alignment horizontal="right" vertical="center" wrapText="0"/>
    </x:xf>
    <x:xf numFmtId="201" fontId="1" fillId="2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 wrapText="0"/>
    </x:xf>
    <x:xf numFmtId="201" fontId="1" fillId="4" borderId="0" xfId="0" applyNumberFormat="1" applyFont="1" applyFill="1" applyBorder="1" applyAlignment="1">
      <x:alignment horizontal="right" vertical="center" wrapText="0"/>
    </x:xf>
    <x:xf numFmtId="202" fontId="1" fillId="2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 wrapText="0"/>
    </x:xf>
    <x:xf numFmtId="202" fontId="1" fillId="4" borderId="0" xfId="0" applyNumberFormat="1" applyFont="1" applyFill="1" applyBorder="1" applyAlignment="1">
      <x:alignment horizontal="right" vertical="center" wrapText="0"/>
    </x:xf>
    <x:xf numFmtId="200" fontId="1" fillId="2" borderId="3" xfId="0" applyNumberFormat="1" applyFont="1" applyFill="1" applyBorder="1" applyAlignment="1">
      <x:alignment horizontal="right" vertical="center" wrapText="0"/>
    </x:xf>
    <x:xf numFmtId="201" fontId="1" fillId="2" borderId="3" xfId="0" applyNumberFormat="1" applyFont="1" applyFill="1" applyBorder="1" applyAlignment="1">
      <x:alignment horizontal="right" vertical="center" wrapText="0"/>
    </x:xf>
    <x:xf numFmtId="202" fontId="1" fillId="2" borderId="3" xfId="0" applyNumberFormat="1" applyFont="1" applyFill="1" applyBorder="1" applyAlignment="1">
      <x:alignment horizontal="right" vertical="center" wrapText="0"/>
    </x:xf>
    <x:xf numFmtId="0" fontId="7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left" vertical="center"/>
    </x:xf>
    <x:xf numFmtId="203" fontId="1" fillId="2" borderId="0" xfId="0" applyNumberFormat="1" applyFont="1" applyFill="1" applyBorder="1" applyAlignment="1">
      <x:alignment horizontal="left" vertical="center"/>
    </x:xf>
    <x:xf numFmtId="203" fontId="1" fillId="4" borderId="0" xfId="0" applyNumberFormat="1" applyFont="1" applyFill="1" applyBorder="1" applyAlignment="1">
      <x:alignment horizontal="left" vertical="center"/>
    </x:xf>
    <x:xf numFmtId="203" fontId="1" fillId="2" borderId="0" xfId="0" applyNumberFormat="1" applyFont="1" applyFill="1" applyBorder="1" applyAlignment="1">
      <x:alignment horizontal="left" vertical="center" wrapText="1"/>
    </x:xf>
    <x:xf numFmtId="203" fontId="1" fillId="4" borderId="0" xfId="0" applyNumberFormat="1" applyFont="1" applyFill="1" applyBorder="1" applyAlignment="1">
      <x:alignment horizontal="left" vertical="center" wrapText="1"/>
    </x:xf>
    <x:xf numFmtId="204" fontId="1" fillId="2" borderId="0" xfId="0" applyNumberFormat="1" applyFont="1" applyFill="1" applyBorder="1" applyAlignment="1">
      <x:alignment horizontal="right" vertical="center"/>
    </x:xf>
    <x:xf numFmtId="204" fontId="1" fillId="4" borderId="0" xfId="0" applyNumberFormat="1" applyFont="1" applyFill="1" applyBorder="1" applyAlignment="1">
      <x:alignment horizontal="right" vertical="center"/>
    </x:xf>
    <x:xf numFmtId="204" fontId="1" fillId="2" borderId="0" xfId="0" applyNumberFormat="1" applyFont="1" applyFill="1" applyBorder="1" applyAlignment="1">
      <x:alignment horizontal="right" vertical="center" wrapText="0"/>
    </x:xf>
    <x:xf numFmtId="204" fontId="1" fillId="4" borderId="0" xfId="0" applyNumberFormat="1" applyFont="1" applyFill="1" applyBorder="1" applyAlignment="1">
      <x:alignment horizontal="right" vertical="center" wrapText="0"/>
    </x:xf>
    <x:xf numFmtId="204" fontId="5" fillId="2" borderId="0" xfId="0" applyNumberFormat="1" applyFont="1" applyFill="1" applyBorder="1" applyAlignment="1">
      <x:alignment horizontal="right" vertical="center" wrapText="0"/>
    </x:xf>
    <x:xf numFmtId="204" fontId="5" fillId="4" borderId="0" xfId="0" applyNumberFormat="1" applyFont="1" applyFill="1" applyBorder="1" applyAlignment="1">
      <x:alignment horizontal="right" vertical="center" wrapText="0"/>
    </x:xf>
    <x:xf numFmtId="203" fontId="1" fillId="4" borderId="3" xfId="0" applyNumberFormat="1" applyFont="1" applyFill="1" applyBorder="1" applyAlignment="1">
      <x:alignment horizontal="left" vertical="center" wrapText="1"/>
    </x:xf>
    <x:xf numFmtId="200" fontId="1" fillId="4" borderId="3" xfId="0" applyNumberFormat="1" applyFont="1" applyFill="1" applyBorder="1" applyAlignment="1">
      <x:alignment horizontal="right" vertical="center" wrapText="0"/>
    </x:xf>
    <x:xf numFmtId="201" fontId="1" fillId="4" borderId="3" xfId="0" applyNumberFormat="1" applyFont="1" applyFill="1" applyBorder="1" applyAlignment="1">
      <x:alignment horizontal="right" vertical="center" wrapText="0"/>
    </x:xf>
    <x:xf numFmtId="204" fontId="1" fillId="4" borderId="3" xfId="0" applyNumberFormat="1" applyFont="1" applyFill="1" applyBorder="1" applyAlignment="1">
      <x:alignment horizontal="right" vertical="center" wrapText="0"/>
    </x:xf>
    <x:xf numFmtId="204" fontId="5" fillId="4" borderId="3" xfId="0" applyNumberFormat="1" applyFont="1" applyFill="1" applyBorder="1" applyAlignment="1">
      <x:alignment horizontal="right" vertical="center" wrapText="0"/>
    </x:xf>
    <x:xf numFmtId="205" fontId="1" fillId="4" borderId="0" xfId="0" applyNumberFormat="1" applyFont="1" applyFill="1" applyBorder="1" applyAlignment="1">
      <x:alignment horizontal="right" vertical="center"/>
    </x:xf>
    <x:xf numFmtId="205" fontId="1" fillId="2" borderId="0" xfId="0" applyNumberFormat="1" applyFont="1" applyFill="1" applyBorder="1" applyAlignment="1">
      <x:alignment horizontal="right" vertical="center"/>
    </x:xf>
    <x:xf numFmtId="205" fontId="1" fillId="4" borderId="0" xfId="0" applyNumberFormat="1" applyFont="1" applyFill="1" applyBorder="1" applyAlignment="1">
      <x:alignment horizontal="right" vertical="center" wrapText="0"/>
    </x:xf>
    <x:xf numFmtId="205" fontId="1" fillId="2" borderId="0" xfId="0" applyNumberFormat="1" applyFont="1" applyFill="1" applyBorder="1" applyAlignment="1">
      <x:alignment horizontal="right" vertical="center" wrapText="0"/>
    </x:xf>
    <x:xf numFmtId="205" fontId="1" fillId="4" borderId="3" xfId="0" applyNumberFormat="1" applyFont="1" applyFill="1" applyBorder="1" applyAlignment="1">
      <x:alignment horizontal="right" vertical="center" wrapText="0"/>
    </x:xf>
    <x:xf numFmtId="203" fontId="1" fillId="2" borderId="3" xfId="0" applyNumberFormat="1" applyFont="1" applyFill="1" applyBorder="1" applyAlignment="1">
      <x:alignment horizontal="left" vertical="center" wrapText="1"/>
    </x:xf>
    <x:xf numFmtId="205" fontId="1" fillId="2" borderId="3" xfId="0" applyNumberFormat="1" applyFont="1" applyFill="1" applyBorder="1" applyAlignment="1">
      <x:alignment horizontal="right" vertical="center" wrapText="0"/>
    </x:xf>
    <x:xf numFmtId="206" fontId="1" fillId="2" borderId="0" xfId="0" applyNumberFormat="1" applyFont="1" applyFill="1" applyBorder="1" applyAlignment="1">
      <x:alignment horizontal="right" vertical="center"/>
    </x:xf>
    <x:xf numFmtId="206" fontId="1" fillId="4" borderId="0" xfId="0" applyNumberFormat="1" applyFont="1" applyFill="1" applyBorder="1" applyAlignment="1">
      <x:alignment horizontal="right" vertical="center"/>
    </x:xf>
    <x:xf numFmtId="206" fontId="1" fillId="2" borderId="0" xfId="0" applyNumberFormat="1" applyFont="1" applyFill="1" applyBorder="1" applyAlignment="1">
      <x:alignment horizontal="right" vertical="center" wrapText="0"/>
    </x:xf>
    <x:xf numFmtId="206" fontId="1" fillId="4" borderId="0" xfId="0" applyNumberFormat="1" applyFont="1" applyFill="1" applyBorder="1" applyAlignment="1">
      <x:alignment horizontal="right" vertical="center" wrapText="0"/>
    </x:xf>
    <x:xf numFmtId="206" fontId="5" fillId="2" borderId="0" xfId="0" applyNumberFormat="1" applyFont="1" applyFill="1" applyBorder="1" applyAlignment="1">
      <x:alignment horizontal="right" vertical="center" wrapText="0"/>
    </x:xf>
    <x:xf numFmtId="206" fontId="5" fillId="4" borderId="0" xfId="0" applyNumberFormat="1" applyFont="1" applyFill="1" applyBorder="1" applyAlignment="1">
      <x:alignment horizontal="right" vertical="center" wrapText="0"/>
    </x:xf>
    <x:xf numFmtId="201" fontId="5" fillId="2" borderId="0" xfId="0" applyNumberFormat="1" applyFont="1" applyFill="1" applyBorder="1" applyAlignment="1">
      <x:alignment horizontal="right" vertical="center" wrapText="0"/>
    </x:xf>
    <x:xf numFmtId="201" fontId="5" fillId="4" borderId="0" xfId="0" applyNumberFormat="1" applyFont="1" applyFill="1" applyBorder="1" applyAlignment="1">
      <x:alignment horizontal="right" vertical="center" wrapText="0"/>
    </x:xf>
    <x:xf numFmtId="204" fontId="1" fillId="2" borderId="3" xfId="0" applyNumberFormat="1" applyFont="1" applyFill="1" applyBorder="1" applyAlignment="1">
      <x:alignment horizontal="right" vertical="center" wrapText="0"/>
    </x:xf>
    <x:xf numFmtId="204" fontId="5" fillId="2" borderId="3" xfId="0" applyNumberFormat="1" applyFont="1" applyFill="1" applyBorder="1" applyAlignment="1">
      <x:alignment horizontal="right" vertical="center" wrapText="0"/>
    </x:xf>
    <x:xf numFmtId="206" fontId="1" fillId="2" borderId="3" xfId="0" applyNumberFormat="1" applyFont="1" applyFill="1" applyBorder="1" applyAlignment="1">
      <x:alignment horizontal="right" vertical="center" wrapText="0"/>
    </x:xf>
    <x:xf numFmtId="206" fontId="5" fillId="2" borderId="3" xfId="0" applyNumberFormat="1" applyFont="1" applyFill="1" applyBorder="1" applyAlignment="1">
      <x:alignment horizontal="right" vertical="center" wrapText="0"/>
    </x:xf>
    <x:xf numFmtId="201" fontId="5" fillId="2" borderId="3" xfId="0" applyNumberFormat="1" applyFont="1" applyFill="1" applyBorder="1" applyAlignment="1">
      <x:alignment horizontal="right" vertical="center" wrapText="0"/>
    </x:xf>
    <x:xf numFmtId="0" fontId="1" fillId="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2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4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2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4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2" borderId="3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7" fontId="1" fillId="2" borderId="0" xfId="0" applyNumberFormat="1" applyFont="1" applyFill="1" applyBorder="1" applyAlignment="1">
      <x:alignment horizontal="right" vertical="center"/>
    </x:xf>
    <x:xf numFmtId="207" fontId="1" fillId="4" borderId="0" xfId="0" applyNumberFormat="1" applyFont="1" applyFill="1" applyBorder="1" applyAlignment="1">
      <x:alignment horizontal="right" vertical="center"/>
    </x:xf>
    <x:xf numFmtId="207" fontId="1" fillId="2" borderId="0" xfId="0" applyNumberFormat="1" applyFont="1" applyFill="1" applyBorder="1" applyAlignment="1">
      <x:alignment horizontal="right" vertical="center" wrapText="0"/>
    </x:xf>
    <x:xf numFmtId="207" fontId="1" fillId="4" borderId="0" xfId="0" applyNumberFormat="1" applyFont="1" applyFill="1" applyBorder="1" applyAlignment="1">
      <x:alignment horizontal="right" vertical="center" wrapText="0"/>
    </x:xf>
    <x:xf numFmtId="207" fontId="5" fillId="2" borderId="0" xfId="0" applyNumberFormat="1" applyFont="1" applyFill="1" applyBorder="1" applyAlignment="1">
      <x:alignment horizontal="right" vertical="center" wrapText="0"/>
    </x:xf>
    <x:xf numFmtId="207" fontId="5" fillId="4" borderId="0" xfId="0" applyNumberFormat="1" applyFont="1" applyFill="1" applyBorder="1" applyAlignment="1">
      <x:alignment horizontal="right" vertical="center" wrapText="0"/>
    </x:xf>
    <x:xf numFmtId="207" fontId="1" fillId="2" borderId="3" xfId="0" applyNumberFormat="1" applyFont="1" applyFill="1" applyBorder="1" applyAlignment="1">
      <x:alignment horizontal="right" vertical="center" wrapText="0"/>
    </x:xf>
    <x:xf numFmtId="207" fontId="5" fillId="2" borderId="3" xfId="0" applyNumberFormat="1" applyFont="1" applyFill="1" applyBorder="1" applyAlignment="1">
      <x:alignment horizontal="right" vertical="center" wrapText="0"/>
    </x:xf>
    <x:xf numFmtId="208" fontId="1" fillId="2" borderId="0" xfId="0" applyNumberFormat="1" applyFont="1" applyFill="1" applyBorder="1" applyAlignment="1">
      <x:alignment horizontal="right" vertical="center"/>
    </x:xf>
    <x:xf numFmtId="208" fontId="1" fillId="4" borderId="0" xfId="0" applyNumberFormat="1" applyFont="1" applyFill="1" applyBorder="1" applyAlignment="1">
      <x:alignment horizontal="right" vertical="center"/>
    </x:xf>
    <x:xf numFmtId="208" fontId="1" fillId="2" borderId="0" xfId="0" applyNumberFormat="1" applyFont="1" applyFill="1" applyBorder="1" applyAlignment="1">
      <x:alignment horizontal="right" vertical="center" wrapText="0"/>
    </x:xf>
    <x:xf numFmtId="208" fontId="1" fillId="4" borderId="0" xfId="0" applyNumberFormat="1" applyFont="1" applyFill="1" applyBorder="1" applyAlignment="1">
      <x:alignment horizontal="right" vertical="center" wrapText="0"/>
    </x:xf>
    <x:xf numFmtId="208" fontId="5" fillId="2" borderId="0" xfId="0" applyNumberFormat="1" applyFont="1" applyFill="1" applyBorder="1" applyAlignment="1">
      <x:alignment horizontal="right" vertical="center" wrapText="0"/>
    </x:xf>
    <x:xf numFmtId="208" fontId="5" fillId="4" borderId="0" xfId="0" applyNumberFormat="1" applyFont="1" applyFill="1" applyBorder="1" applyAlignment="1">
      <x:alignment horizontal="right" vertical="center" wrapText="0"/>
    </x:xf>
    <x:xf numFmtId="208" fontId="1" fillId="4" borderId="3" xfId="0" applyNumberFormat="1" applyFont="1" applyFill="1" applyBorder="1" applyAlignment="1">
      <x:alignment horizontal="right" vertical="center" wrapText="0"/>
    </x:xf>
    <x:xf numFmtId="208" fontId="5" fillId="4" borderId="3" xfId="0" applyNumberFormat="1" applyFont="1" applyFill="1" applyBorder="1" applyAlignment="1">
      <x:alignment horizontal="right" vertical="center" wrapText="0"/>
    </x:xf>
    <x:xf numFmtId="208" fontId="1" fillId="2" borderId="3" xfId="0" applyNumberFormat="1" applyFont="1" applyFill="1" applyBorder="1" applyAlignment="1">
      <x:alignment horizontal="right" vertical="center" wrapText="0"/>
    </x:xf>
    <x:xf numFmtId="208" fontId="5" fillId="2" borderId="3" xfId="0" applyNumberFormat="1" applyFont="1" applyFill="1" applyBorder="1" applyAlignment="1">
      <x:alignment horizontal="right" vertical="center" wrapText="0"/>
    </x:xf>
    <x:xf numFmtId="203" fontId="1" fillId="4" borderId="3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4" borderId="3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right" vertical="center" wrapText="1"/>
    </x:xf>
    <x:xf numFmtId="0" fontId="1" fillId="7" borderId="0" xfId="0" applyNumberFormat="1" applyFont="1" applyFill="1" applyBorder="1" applyAlignment="1">
      <x:alignment horizontal="right" vertical="center" wrapText="1"/>
    </x:xf>
    <x:xf numFmtId="201" fontId="1" fillId="6" borderId="0" xfId="0" applyNumberFormat="1" applyFont="1" applyFill="1" applyBorder="1" applyAlignment="1">
      <x:alignment horizontal="right" vertical="center" wrapText="1"/>
    </x:xf>
    <x:xf numFmtId="201" fontId="1" fillId="7" borderId="0" xfId="0" applyNumberFormat="1" applyFont="1" applyFill="1" applyBorder="1" applyAlignment="1">
      <x:alignment horizontal="right" vertical="center" wrapText="1"/>
    </x:xf>
    <x:xf numFmtId="209" fontId="1" fillId="7" borderId="0" xfId="0" applyNumberFormat="1" applyFont="1" applyFill="1" applyBorder="1" applyAlignment="1">
      <x:alignment horizontal="right" vertical="center" wrapText="1"/>
    </x:xf>
    <x:xf numFmtId="209" fontId="1" fillId="6" borderId="0" xfId="0" applyNumberFormat="1" applyFont="1" applyFill="1" applyBorder="1" applyAlignment="1">
      <x:alignment horizontal="right" vertical="center" wrapText="1"/>
    </x:xf>
    <x:xf numFmtId="0" fontId="5" fillId="6" borderId="0" xfId="0" applyNumberFormat="1" applyFont="1" applyFill="1" applyBorder="1" applyAlignment="1">
      <x:alignment horizontal="right"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horizontal="right"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209" fontId="5" fillId="6" borderId="0" xfId="0" applyNumberFormat="1" applyFont="1" applyFill="1" applyBorder="1" applyAlignment="1">
      <x:alignment horizontal="right" vertical="center" wrapText="1"/>
    </x:xf>
    <x:xf numFmtId="201" fontId="5" fillId="7" borderId="0" xfId="0" applyNumberFormat="1" applyFont="1" applyFill="1" applyBorder="1" applyAlignment="1">
      <x:alignment horizontal="right" vertical="center" wrapText="1"/>
    </x:xf>
    <x:xf numFmtId="201" fontId="5" fillId="6" borderId="0" xfId="0" applyNumberFormat="1" applyFont="1" applyFill="1" applyBorder="1" applyAlignment="1">
      <x:alignment horizontal="right" vertical="center" wrapText="1"/>
    </x:xf>
    <x:xf numFmtId="209" fontId="5" fillId="7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">
    <x:dxf>
      <x:font>
        <x:b/>
        <x:color rgb="FFD1495B"/>
      </x:font>
      <x:fill>
        <x:patternFill>
          <x:bgColor rgb="FFFBECEF"/>
        </x:patternFill>
      </x:fill>
    </x:dxf>
    <x:dxf>
      <x:font>
        <x:b/>
        <x:color rgb="FF986416"/>
      </x:font>
      <x:fill>
        <x:patternFill>
          <x:bgColor rgb="FFFFF4DF"/>
        </x:patternFill>
      </x:fill>
    </x:dxf>
    <x:dxf>
      <x:font>
        <x:b/>
        <x:color rgb="FF74716C"/>
      </x:font>
      <x:fill>
        <x:patternFill>
          <x:bgColor rgb="FFF6F4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93246b49c4ef3" /><Relationship Type="http://schemas.openxmlformats.org/officeDocument/2006/relationships/theme" Target="/xl/theme/theme1.xml" Id="R2e13a7218b714697" /><Relationship Type="http://schemas.microsoft.com/office/2022/11/relationships/FeaturePropertyBag" Target="/xl/featurePropertyBag/featurePropertyBag.xml" Id="R31f29458eadf47c8" /><Relationship Type="http://schemas.openxmlformats.org/officeDocument/2006/relationships/sharedStrings" Target="/xl/sharedStrings.xml" Id="R038a7aedecc349f5" /><Relationship Type="http://schemas.openxmlformats.org/officeDocument/2006/relationships/worksheet" Target="/xl/worksheets/sheet1.xml" Id="Rab75b308679f4a33" /><Relationship Type="http://schemas.openxmlformats.org/officeDocument/2006/relationships/worksheet" Target="/xl/worksheets/sheet2.xml" Id="Rf40c8566242e4e07" /><Relationship Type="http://schemas.openxmlformats.org/officeDocument/2006/relationships/worksheet" Target="/xl/worksheets/sheet3.xml" Id="Rc76692ae990f4a15" /><Relationship Type="http://schemas.openxmlformats.org/officeDocument/2006/relationships/worksheet" Target="/xl/worksheets/sheet4.xml" Id="Rcaa81fd2f32446ed" /><Relationship Type="http://schemas.openxmlformats.org/officeDocument/2006/relationships/worksheet" Target="/xl/worksheets/sheet5.xml" Id="R3859053b867b455f" /><Relationship Type="http://schemas.openxmlformats.org/officeDocument/2006/relationships/worksheet" Target="/xl/worksheets/sheet6.xml" Id="Rb1d02a3701034aa5" /><Relationship Type="http://schemas.openxmlformats.org/officeDocument/2006/relationships/worksheet" Target="/xl/worksheets/sheet7.xml" Id="Rbed157908ce14110" /><Relationship Type="http://schemas.openxmlformats.org/officeDocument/2006/relationships/worksheet" Target="/xl/worksheets/sheet8.xml" Id="Rc561f7f573bc4b97" /><Relationship Type="http://schemas.openxmlformats.org/officeDocument/2006/relationships/worksheet" Target="/xl/worksheets/sheet9.xml" Id="R00e9148d09374cc2" /><Relationship Type="http://schemas.openxmlformats.org/officeDocument/2006/relationships/worksheet" Target="/xl/worksheets/sheet10.xml" Id="R40ff1988a2504ec6" /><Relationship Type="http://schemas.openxmlformats.org/officeDocument/2006/relationships/worksheet" Target="/xl/worksheets/sheet11.xml" Id="R5f11d49826ca40d4" /><Relationship Type="http://schemas.openxmlformats.org/officeDocument/2006/relationships/worksheet" Target="/xl/worksheets/sheet12.xml" Id="R4077b5bd649f4c38" /><Relationship Type="http://schemas.openxmlformats.org/officeDocument/2006/relationships/worksheet" Target="/xl/worksheets/sheet13.xml" Id="R41174f8cac674343" /><Relationship Type="http://schemas.openxmlformats.org/officeDocument/2006/relationships/worksheet" Target="/xl/worksheets/sheet14.xml" Id="R21a0262c146d402c" /><Relationship Type="http://schemas.openxmlformats.org/officeDocument/2006/relationships/worksheet" Target="/xl/worksheets/sheet15.xml" Id="Rfe904dae251a4268" /><Relationship Type="http://schemas.openxmlformats.org/officeDocument/2006/relationships/worksheet" Target="/xl/worksheets/sheet16.xml" Id="Rec7fe9f259fb4683" /><Relationship Type="http://schemas.openxmlformats.org/officeDocument/2006/relationships/worksheet" Target="/xl/worksheets/sheet17.xml" Id="Rb9ad0b636f4a42ac" /><Relationship Type="http://schemas.openxmlformats.org/officeDocument/2006/relationships/worksheet" Target="/xl/worksheets/sheet18.xml" Id="R7d6e75ea737246db" /><Relationship Type="http://schemas.openxmlformats.org/officeDocument/2006/relationships/worksheet" Target="/xl/worksheets/sheet19.xml" Id="Re46c724494d6433a" /><Relationship Type="http://schemas.openxmlformats.org/officeDocument/2006/relationships/worksheet" Target="/xl/worksheets/sheet20.xml" Id="R22d79e6faba14693" /><Relationship Type="http://schemas.openxmlformats.org/officeDocument/2006/relationships/worksheet" Target="/xl/worksheets/sheet21.xml" Id="R5fe92315e1d04983" /><Relationship Type="http://schemas.openxmlformats.org/officeDocument/2006/relationships/worksheet" Target="/xl/worksheets/sheet22.xml" Id="R2a757c58164d4563" /><Relationship Type="http://schemas.openxmlformats.org/officeDocument/2006/relationships/worksheet" Target="/xl/worksheets/sheet23.xml" Id="Rba2ad32a51004f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IDE_S1" displayName="PRIDE_S1" ref="B7:M20" headerRowCount="1" totalsRowCount="0" totalsRowShown="0">
  <x:autoFilter ref="B7:M20"/>
  <x:tableColumns count="12">
    <x:tableColumn id="1" name="Release year"/>
    <x:tableColumn id="2" name="Datasets"/>
    <x:tableColumn id="3" name="Contributor groups"/>
    <x:tableColumn id="4" name="Country assigned (%)"/>
    <x:tableColumn id="5" name="Linked paper (%)"/>
    <x:tableColumn id="6" name="First-time groups (%)"/>
    <x:tableColumn id="7" name="DIA detected (%)"/>
    <x:tableColumn id="8" name="Thermo Fisher only (%)"/>
    <x:tableColumn id="9" name="Bruker only (%)"/>
    <x:tableColumn id="10" name="Standard result files (%)"/>
    <x:tableColumn id="11" name="Identifiable results (%)"/>
    <x:tableColumn id="12" name="Human samples (%)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RIDE_S2" displayName="PRIDE_S2" ref="B7:H87" headerRowCount="1" totalsRowCount="0" totalsRowShown="0">
  <x:autoFilter ref="B7:H87"/>
  <x:tableColumns count="7">
    <x:tableColumn id="1" name="Axis"/>
    <x:tableColumn id="2" name="Year"/>
    <x:tableColumn id="3" name="Datasets"/>
    <x:tableColumn id="4" name="Categories"/>
    <x:tableColumn id="5" name="Effective number"/>
    <x:tableColumn id="6" name="Lower 95% bound"/>
    <x:tableColumn id="7" name="Upper 95% bound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PRIDE_S3" displayName="PRIDE_S3" ref="B7:R15" headerRowCount="1" totalsRowCount="0" totalsRowShown="0">
  <x:autoFilter ref="B7:R15"/>
  <x:tableColumns count="17">
    <x:tableColumn id="1" name="Axis"/>
    <x:tableColumn id="2" name="Datasets, early"/>
    <x:tableColumn id="3" name="Datasets, later"/>
    <x:tableColumn id="4" name="Order 2, early"/>
    <x:tableColumn id="5" name="Order 2, later"/>
    <x:tableColumn id="6" name="Order 2, ratio"/>
    <x:tableColumn id="7" name="Order 2, ratio lower 95%"/>
    <x:tableColumn id="8" name="Order 2, ratio upper 95%"/>
    <x:tableColumn id="9" name="Order 1, early"/>
    <x:tableColumn id="10" name="Order 1, later"/>
    <x:tableColumn id="11" name="Order 1, ratio"/>
    <x:tableColumn id="12" name="Order 1, ratio lower 95%"/>
    <x:tableColumn id="13" name="Order 1, ratio upper 95%"/>
    <x:tableColumn id="14" name="Order 0, early"/>
    <x:tableColumn id="15" name="Order 0, later"/>
    <x:tableColumn id="16" name="Order 0, ratio"/>
    <x:tableColumn id="17" name="Datasets per subsampl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RIDE_S4" displayName="PRIDE_S4" ref="B7:J25" headerRowCount="1" totalsRowCount="0" totalsRowShown="0">
  <x:autoFilter ref="B7:J25"/>
  <x:tableColumns count="9">
    <x:tableColumn id="1" name="Period"/>
    <x:tableColumn id="2" name="Measure"/>
    <x:tableColumn id="3" name="Statistic"/>
    <x:tableColumn id="4" name="Estimate"/>
    <x:tableColumn id="5" name="Lower 95% bound"/>
    <x:tableColumn id="6" name="Upper 95% bound"/>
    <x:tableColumn id="7" name="Groups"/>
    <x:tableColumn id="8" name="Datasets"/>
    <x:tableColumn id="9" name="Total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PRIDE_S5" displayName="PRIDE_S5" ref="B7:H14" headerRowCount="1" totalsRowCount="0" totalsRowShown="0">
  <x:autoFilter ref="B7:H14"/>
  <x:tableColumns count="7">
    <x:tableColumn id="1" name="Datasets per group"/>
    <x:tableColumn id="2" name="Groups"/>
    <x:tableColumn id="3" name="Datasets"/>
    <x:tableColumn id="4" name="Bytes"/>
    <x:tableColumn id="5" name="Groups (%)"/>
    <x:tableColumn id="6" name="Datasets (%)"/>
    <x:tableColumn id="7" name="Bytes (%)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PRIDE_S6" displayName="PRIDE_S6" ref="B7:R72" headerRowCount="1" totalsRowCount="0" totalsRowShown="0">
  <x:autoFilter ref="B7:R72"/>
  <x:tableColumns count="17">
    <x:tableColumn id="1" name="Country"/>
    <x:tableColumn id="2" name="Continent"/>
    <x:tableColumn id="3" name="Datasets, 2016–2018"/>
    <x:tableColumn id="4" name="Datasets, 2023–2025"/>
    <x:tableColumn id="5" name="Additional datasets"/>
    <x:tableColumn id="6" name="Growth ratio"/>
    <x:tableColumn id="7" name="Growth, lower 95%"/>
    <x:tableColumn id="8" name="Growth, upper 95%"/>
    <x:tableColumn id="9" name="Linked papers"/>
    <x:tableColumn id="10" name="International papers (%)"/>
    <x:tableColumn id="11" name="International, lower 95%"/>
    <x:tableColumn id="12" name="International, upper 95%"/>
    <x:tableColumn id="13" name="Dated datasets"/>
    <x:tableColumn id="14" name="Median age (days)"/>
    <x:tableColumn id="15" name="Age, lower 95% (days)"/>
    <x:tableColumn id="16" name="Age, upper 95% (days)"/>
    <x:tableColumn id="17" name="Dated raw files (%)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PRIDE_S7" displayName="PRIDE_S7" ref="B7:R44" headerRowCount="1" totalsRowCount="0" totalsRowShown="0">
  <x:autoFilter ref="B7:R44"/>
  <x:tableColumns count="17">
    <x:tableColumn id="1" name="Model"/>
    <x:tableColumn id="2" name="Vendor"/>
    <x:tableColumn id="3" name="Datasets"/>
    <x:tableColumn id="4" name="Groups total"/>
    <x:tableColumn id="5" name="First year, ≥1 dataset"/>
    <x:tableColumn id="6" name="First year, ≥5 datasets"/>
    <x:tableColumn id="7" name="Year of peak share"/>
    <x:tableColumn id="8" name="Peak share (%)"/>
    <x:tableColumn id="9" name="Share in 2025 (%)"/>
    <x:tableColumn id="10" name="Present at study start"/>
    <x:tableColumn id="11" name="Run-size datasets"/>
    <x:tableColumn id="12" name="Run-size groups"/>
    <x:tableColumn id="13" name="Median raw runs"/>
    <x:tableColumn id="14" name="Median size per run (GB)"/>
    <x:tableColumn id="15" name="25th percentile (GB)"/>
    <x:tableColumn id="16" name="75th percentile (GB)"/>
    <x:tableColumn id="17" name="DIA share (%)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PRIDE_S8" displayName="PRIDE_S8" ref="B7:AA78" headerRowCount="1" totalsRowCount="0" totalsRowShown="0">
  <x:autoFilter ref="B7:AA78"/>
  <x:tableColumns count="26">
    <x:tableColumn id="1" name="Comparison"/>
    <x:tableColumn id="2" name="Early period"/>
    <x:tableColumn id="3" name="Later period"/>
    <x:tableColumn id="4" name="Datasets, early"/>
    <x:tableColumn id="5" name="Datasets, later"/>
    <x:tableColumn id="6" name="Groups early"/>
    <x:tableColumn id="7" name="Groups later"/>
    <x:tableColumn id="8" name="Median runs, early"/>
    <x:tableColumn id="9" name="Median runs, early, lower 95%"/>
    <x:tableColumn id="10" name="Median runs, early, upper 95%"/>
    <x:tableColumn id="11" name="Median runs, later"/>
    <x:tableColumn id="12" name="Median runs, later, lower 95%"/>
    <x:tableColumn id="13" name="Median runs, later, upper 95%"/>
    <x:tableColumn id="14" name="Median ratio"/>
    <x:tableColumn id="15" name="Median ratio lower 95%"/>
    <x:tableColumn id="16" name="Median ratio upper 95%"/>
    <x:tableColumn id="17" name="≥100 runs, early (%)"/>
    <x:tableColumn id="18" name="≥100 runs, early, lower 95% (%)"/>
    <x:tableColumn id="19" name="≥100 runs, early, upper 95% (%)"/>
    <x:tableColumn id="20" name="≥100 runs, later (%)"/>
    <x:tableColumn id="21" name="≥100 runs, later, lower 95% (%)"/>
    <x:tableColumn id="22" name="≥100 runs, later, upper 95% (%)"/>
    <x:tableColumn id="23" name="Change in ≥100-run share (fraction)"/>
    <x:tableColumn id="24" name="Change in ≥100-run share, lower 95% (fraction)"/>
    <x:tableColumn id="25" name="Change in ≥100-run share, upper 95% (fraction)"/>
    <x:tableColumn id="26" name="Stratum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PRIDE_S9" displayName="PRIDE_S9" ref="B7:F32" headerRowCount="1" totalsRowCount="0" totalsRowShown="0">
  <x:autoFilter ref="B7:F32"/>
  <x:tableColumns count="5">
    <x:tableColumn id="1" name="Export capability"/>
    <x:tableColumn id="2" name="Tool"/>
    <x:tableColumn id="3" name="Datasets"/>
    <x:tableColumn id="4" name="Standard results (%)"/>
    <x:tableColumn id="5" name="Native results visible (%)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PRIDE_S10" displayName="PRIDE_S10" ref="B7:J11" headerRowCount="1" totalsRowCount="0" totalsRowShown="0">
  <x:autoFilter ref="B7:J11"/>
  <x:tableColumns count="9">
    <x:tableColumn id="1" name="Export capability"/>
    <x:tableColumn id="2" name="Datasets"/>
    <x:tableColumn id="3" name="Groups"/>
    <x:tableColumn id="4" name="Tools"/>
    <x:tableColumn id="5" name="Standard results (%)"/>
    <x:tableColumn id="6" name="Lower 95% bound"/>
    <x:tableColumn id="7" name="Upper 95% bound"/>
    <x:tableColumn id="8" name="Native results visible (%)"/>
    <x:tableColumn id="9" name="Results in archives only (%)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PRIDE_S11" displayName="PRIDE_S11" ref="B7:T12" headerRowCount="1" totalsRowCount="0" totalsRowShown="0">
  <x:autoFilter ref="B7:T12"/>
  <x:tableColumns count="19">
    <x:tableColumn id="1" name="Tool"/>
    <x:tableColumn id="2" name="Datasets"/>
    <x:tableColumn id="3" name="Groups"/>
    <x:tableColumn id="4" name="Median age (years)"/>
    <x:tableColumn id="5" name="Lower 95% bound"/>
    <x:tableColumn id="6" name="Upper 95% bound"/>
    <x:tableColumn id="7" name="10th percentile (years)"/>
    <x:tableColumn id="8" name="25th percentile (years)"/>
    <x:tableColumn id="9" name="75th percentile (years)"/>
    <x:tableColumn id="10" name="90th percentile (years)"/>
    <x:tableColumn id="11" name="Age &gt;2 years (%)"/>
    <x:tableColumn id="12" name="Median, second-group anchor (years)"/>
    <x:tableColumn id="13" name="Median at submission (years)"/>
    <x:tableColumn id="14" name="Datasets, 2023–2025"/>
    <x:tableColumn id="15" name="Median, 2023–2025 (years)"/>
    <x:tableColumn id="16" name="Later median, lower 95% (years)"/>
    <x:tableColumn id="17" name="Later median, upper 95% (years)"/>
    <x:tableColumn id="18" name="Oldest release at end-2025 (years)"/>
    <x:tableColumn id="19" name="Tool first recorded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PRIDE_S12" displayName="PRIDE_S12" ref="B7:H12" headerRowCount="1" totalsRowCount="0" totalsRowShown="0">
  <x:autoFilter ref="B7:H12"/>
  <x:tableColumns count="7">
    <x:tableColumn id="1" name="Software series"/>
    <x:tableColumn id="2" name="Share (%)"/>
    <x:tableColumn id="3" name="Lower 95% bound"/>
    <x:tableColumn id="4" name="Upper 95% bound"/>
    <x:tableColumn id="5" name="Versioned 2025 datasets"/>
    <x:tableColumn id="6" name="Datasets in series"/>
    <x:tableColumn id="7" name="Groups in series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PRIDE_S13" displayName="PRIDE_S13" ref="B7:P20" headerRowCount="1" totalsRowCount="0" totalsRowShown="0">
  <x:autoFilter ref="B7:P20"/>
  <x:tableColumns count="15">
    <x:tableColumn id="1" name="Release year"/>
    <x:tableColumn id="2" name="Standard results, names (%)"/>
    <x:tableColumn id="3" name="Standard results, archives (%)"/>
    <x:tableColumn id="4" name="Identifiable results, names (%)"/>
    <x:tableColumn id="5" name="Identifiable results, archives (%)"/>
    <x:tableColumn id="6" name="Tool-specific only, names (%)"/>
    <x:tableColumn id="7" name="Tool-specific only, archives (%)"/>
    <x:tableColumn id="8" name="Sequence DB, names (%)"/>
    <x:tableColumn id="9" name="Sequence DB, archives (%)"/>
    <x:tableColumn id="10" name="Sample metadata, names (%)"/>
    <x:tableColumn id="11" name="SDRF, archives (%)"/>
    <x:tableColumn id="12" name="Unread archive (%)"/>
    <x:tableColumn id="13" name="Datasets"/>
    <x:tableColumn id="14" name="Identifiable results, headers (%)"/>
    <x:tableColumn id="15" name="Tool-specific only, headers (%)"/>
  </x:tableColumns>
  <x:tableStyleInfo name="TableStyleLight1" showFirstColumn="0" showLastColumn="0" showRowStripes="1" showColumnStripes="0"/>
</x:table>
</file>

<file path=xl/tables/table14.xml><?xml version="1.0" encoding="utf-8"?>
<x:table xmlns:x="http://schemas.openxmlformats.org/spreadsheetml/2006/main" id="14" name="PRIDE_S14" displayName="PRIDE_S14" ref="B7:G15" headerRowCount="1" totalsRowCount="0" totalsRowShown="0">
  <x:autoFilter ref="B7:G15"/>
  <x:tableColumns count="6">
    <x:tableColumn id="1" name="Documentation"/>
    <x:tableColumn id="2" name="Present in previous dataset"/>
    <x:tableColumn id="3" name="Pairs"/>
    <x:tableColumn id="4" name="Groups"/>
    <x:tableColumn id="5" name="Present in next dataset (%)"/>
    <x:tableColumn id="6" name="Expected for same years (%)"/>
  </x:tableColumns>
  <x:tableStyleInfo name="TableStyleLight1" showFirstColumn="0" showLastColumn="0" showRowStripes="1" showColumnStripes="0"/>
</x:table>
</file>

<file path=xl/tables/table15.xml><?xml version="1.0" encoding="utf-8"?>
<x:table xmlns:x="http://schemas.openxmlformats.org/spreadsheetml/2006/main" id="15" name="PRIDE_S15" displayName="PRIDE_S15" ref="B7:I16" headerRowCount="1" totalsRowCount="0" totalsRowShown="0">
  <x:autoFilter ref="B7:I16"/>
  <x:tableColumns count="8">
    <x:tableColumn id="1" name="Interval"/>
    <x:tableColumn id="2" name="Datasets"/>
    <x:tableColumn id="3" name="Groups"/>
    <x:tableColumn id="4" name="Median days"/>
    <x:tableColumn id="5" name="Median interval (years)"/>
    <x:tableColumn id="6" name="95% interval (years)"/>
    <x:tableColumn id="7" name="Interval &gt;1 year (%)"/>
    <x:tableColumn id="8" name="Interval &gt;2 years (%)"/>
  </x:tableColumns>
  <x:tableStyleInfo name="TableStyleLight1" showFirstColumn="0" showLastColumn="0" showRowStripes="1" showColumnStripes="0"/>
</x:table>
</file>

<file path=xl/tables/table16.xml><?xml version="1.0" encoding="utf-8"?>
<x:table xmlns:x="http://schemas.openxmlformats.org/spreadsheetml/2006/main" id="16" name="PRIDE_S16" displayName="PRIDE_S16" ref="B7:M10" headerRowCount="1" totalsRowCount="0" totalsRowShown="0">
  <x:autoFilter ref="B7:M10"/>
  <x:tableColumns count="12">
    <x:tableColumn id="1" name="Release-day group"/>
    <x:tableColumn id="2" name="Datasets"/>
    <x:tableColumn id="3" name="Groups"/>
    <x:tableColumn id="4" name="Median interval (days)"/>
    <x:tableColumn id="5" name="Lower 95% (days)"/>
    <x:tableColumn id="6" name="Upper 95% (days)"/>
    <x:tableColumn id="7" name="Released &gt;30 days later (%)"/>
    <x:tableColumn id="8" name="&gt;30 days, lower 95% (%)"/>
    <x:tableColumn id="9" name="&gt;30 days, upper 95% (%)"/>
    <x:tableColumn id="10" name="Released within ±30 days (%)"/>
    <x:tableColumn id="11" name="Within 30 days, lower 95% (%)"/>
    <x:tableColumn id="12" name="Within 30 days, upper 95% (%)"/>
  </x:tableColumns>
  <x:tableStyleInfo name="TableStyleLight1" showFirstColumn="0" showLastColumn="0" showRowStripes="1" showColumnStripes="0"/>
</x:table>
</file>

<file path=xl/tables/table17.xml><?xml version="1.0" encoding="utf-8"?>
<x:table xmlns:x="http://schemas.openxmlformats.org/spreadsheetml/2006/main" id="17" name="PRIDE_S17" displayName="PRIDE_S17" ref="B7:R22" headerRowCount="1" totalsRowCount="0" totalsRowShown="0">
  <x:autoFilter ref="B7:R22"/>
  <x:tableColumns count="17">
    <x:tableColumn id="1" name="Journal"/>
    <x:tableColumn id="2" name="Linked datasets"/>
    <x:tableColumn id="3" name="Linked papers"/>
    <x:tableColumn id="4" name="2013 (%)"/>
    <x:tableColumn id="5" name="2014 (%)"/>
    <x:tableColumn id="6" name="2015 (%)"/>
    <x:tableColumn id="7" name="2016 (%)"/>
    <x:tableColumn id="8" name="2017 (%)"/>
    <x:tableColumn id="9" name="2018 (%)"/>
    <x:tableColumn id="10" name="2019 (%)"/>
    <x:tableColumn id="11" name="2020 (%)"/>
    <x:tableColumn id="12" name="2021 (%)"/>
    <x:tableColumn id="13" name="2022 (%)"/>
    <x:tableColumn id="14" name="2023 (%)"/>
    <x:tableColumn id="15" name="2024 (%)"/>
    <x:tableColumn id="16" name="2025 (%)"/>
    <x:tableColumn id="17" name="Proteomics in journal title"/>
  </x:tableColumns>
  <x:tableStyleInfo name="TableStyleLight1" showFirstColumn="0" showLastColumn="0" showRowStripes="1" showColumnStripes="0"/>
</x:table>
</file>

<file path=xl/tables/table18.xml><?xml version="1.0" encoding="utf-8"?>
<x:table xmlns:x="http://schemas.openxmlformats.org/spreadsheetml/2006/main" id="18" name="PRIDE_S18" displayName="PRIDE_S18" ref="B7:K20" headerRowCount="1" totalsRowCount="0" totalsRowShown="0">
  <x:autoFilter ref="B7:K20"/>
  <x:tableColumns count="10">
    <x:tableColumn id="1" name="Publication year"/>
    <x:tableColumn id="2" name="Papers with journal"/>
    <x:tableColumn id="3" name="Top 10 journals (%)"/>
    <x:tableColumn id="4" name="Top 10, lower 95% (%)"/>
    <x:tableColumn id="5" name="Top 10, upper 95% (%)"/>
    <x:tableColumn id="6" name="Proteomics journals (%)"/>
    <x:tableColumn id="7" name="Proteomics, lower 95% (%)"/>
    <x:tableColumn id="8" name="Proteomics, upper 95% (%)"/>
    <x:tableColumn id="9" name="Distinct journals"/>
    <x:tableColumn id="10" name="Effective number of journals"/>
  </x:tableColumns>
  <x:tableStyleInfo name="TableStyleLight1" showFirstColumn="0" showLastColumn="0" showRowStripes="1" showColumnStripes="0"/>
</x:table>
</file>

<file path=xl/tables/table19.xml><?xml version="1.0" encoding="utf-8"?>
<x:table xmlns:x="http://schemas.openxmlformats.org/spreadsheetml/2006/main" id="19" name="PRIDE_S19" displayName="PRIDE_S19" ref="B7:I175" headerRowCount="1" totalsRowCount="0" totalsRowShown="0">
  <x:autoFilter ref="B7:I175"/>
  <x:tableColumns count="8">
    <x:tableColumn id="1" name="Outcome"/>
    <x:tableColumn id="2" name="Feature"/>
    <x:tableColumn id="3" name="Level"/>
    <x:tableColumn id="4" name="Datasets"/>
    <x:tableColumn id="5" name="Unadjusted rate (%)"/>
    <x:tableColumn id="6" name="Standardised rate (%)"/>
    <x:tableColumn id="7" name="Lower 95% (%)"/>
    <x:tableColumn id="8" name="Upper 95% (%)"/>
  </x:tableColumns>
  <x:tableStyleInfo name="TableStyleLight1" showFirstColumn="0" showLastColumn="0" showRowStripes="1" showColumnStripes="0"/>
</x:table>
</file>

<file path=xl/tables/table20.xml><?xml version="1.0" encoding="utf-8"?>
<x:table xmlns:x="http://schemas.openxmlformats.org/spreadsheetml/2006/main" id="20" name="PRIDE_S20" displayName="PRIDE_S20" ref="B7:F24" headerRowCount="1" totalsRowCount="0" totalsRowShown="0">
  <x:autoFilter ref="B7:F24"/>
  <x:tableColumns count="5">
    <x:tableColumn id="1" name="Analysis"/>
    <x:tableColumn id="2" name="Feature"/>
    <x:tableColumn id="3" name="Ratio estimate"/>
    <x:tableColumn id="4" name="Lower 95% bound"/>
    <x:tableColumn id="5" name="Upper 95% bound"/>
  </x:tableColumns>
  <x:tableStyleInfo name="TableStyleLight1" showFirstColumn="0" showLastColumn="0" showRowStripes="1" showColumnStripes="0"/>
</x:table>
</file>

<file path=xl/tables/table21.xml><?xml version="1.0" encoding="utf-8"?>
<x:table xmlns:x="http://schemas.openxmlformats.org/spreadsheetml/2006/main" id="21" name="PRIDE_S21" displayName="PRIDE_S21" ref="B7:F114" headerRowCount="1" totalsRowCount="0" totalsRowShown="0">
  <x:autoFilter ref="B7:F114"/>
  <x:tableColumns count="5">
    <x:tableColumn id="1" name="Finding ID"/>
    <x:tableColumn id="2" name="Finding"/>
    <x:tableColumn id="3" name="Status"/>
    <x:tableColumn id="4" name="Robustness verdict"/>
    <x:tableColumn id="5" name="Wording after review"/>
  </x:tableColumns>
  <x:tableStyleInfo name="TableStyleLight1" showFirstColumn="0" showLastColumn="0" showRowStripes="1" showColumnStripes="0"/>
</x:table>
</file>

<file path=xl/tables/table22.xml><?xml version="1.0" encoding="utf-8"?>
<x:table xmlns:x="http://schemas.openxmlformats.org/spreadsheetml/2006/main" id="22" name="PRIDE_S22" displayName="PRIDE_S22" ref="B7:K101" headerRowCount="1" totalsRowCount="0" totalsRowShown="0">
  <x:autoFilter ref="B7:K101"/>
  <x:tableColumns count="10">
    <x:tableColumn id="1" name="Comparison"/>
    <x:tableColumn id="2" name="Population"/>
    <x:tableColumn id="3" name="Period or comparison"/>
    <x:tableColumn id="4" name="Estimate"/>
    <x:tableColumn id="5" name="Lower bound"/>
    <x:tableColumn id="6" name="Upper bound"/>
    <x:tableColumn id="7" name="Meaning of bounds"/>
    <x:tableColumn id="8" name="Unit"/>
    <x:tableColumn id="9" name="Definition or qualification"/>
    <x:tableColumn id="10" name="Sour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PRIDE manuscript">
      <a:dk1>
        <a:srgbClr val="111111"/>
      </a:dk1>
      <a:lt1>
        <a:srgbClr val="FFFFFF"/>
      </a:lt1>
      <a:dk2>
        <a:srgbClr val="0E2841"/>
      </a:dk2>
      <a:lt2>
        <a:srgbClr val="F6F4EF"/>
      </a:lt2>
      <a:accent1>
        <a:srgbClr val="2E6F9E"/>
      </a:accent1>
      <a:accent2>
        <a:srgbClr val="D1495B"/>
      </a:accent2>
      <a:accent3>
        <a:srgbClr val="E8A33D"/>
      </a:accent3>
      <a:accent4>
        <a:srgbClr val="5A9E6F"/>
      </a:accent4>
      <a:accent5>
        <a:srgbClr val="8D6CAB"/>
      </a:accent5>
      <a:accent6>
        <a:srgbClr val="4EA72E"/>
      </a:accent6>
      <a:hlink>
        <a:srgbClr val="2E6F9E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RIDE manuscri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e98756ec9648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ce76a9f86743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1044c4d2214a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c9331ec5454a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1660ae7aae4d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0651a9cbf74d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170317539a43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5281d9c4794d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6d6be05a1cd4e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8f37c396c544d8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c5fed60687147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ddeb504eec349d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791832050fd433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d418388cc8bc42e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a4a5b576152c4c3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99a8289fa3f4e8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60520cd5c44a470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2ab19edbda1a458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ca6caec3cd2f46d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b6c95b097f14411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632cee017eb349f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bc9541fcab6f4b64" /></Relationships>
</file>

<file path=xl/worksheets/sheet1.xml><?xml version="1.0" encoding="utf-8"?>
<worksheet xmlns="http://schemas.openxmlformats.org/spreadsheetml/2006/main">
  <sheetPr>
    <tabColor rgb="FF2E6F9E"/>
  </sheetPr>
  <sheetViews>
    <sheetView showGridLines="0" workbookViewId="0"/>
  </sheetViews>
  <sheetFormatPr defaultRowHeight="15"/>
  <cols>
    <col min="1" max="1" width="3" hidden="0" customWidth="1"/>
    <col min="2" max="2" width="11" hidden="0" customWidth="1"/>
    <col min="3" max="3" width="62" hidden="0" customWidth="1"/>
    <col min="4" max="4" width="32" hidden="0" customWidth="1"/>
    <col min="5" max="5" width="12" hidden="0" customWidth="1"/>
  </cols>
  <sheetData>
    <row r="1" ht="12" customHeight="1">
      <c r="A1" s="3"/>
      <c r="B1" s="3"/>
      <c r="C1" s="3"/>
      <c r="D1" s="3"/>
      <c r="E1" s="3"/>
      <c r="F1" s="3"/>
    </row>
    <row r="2" ht="23" customHeight="1">
      <c r="A2" s="3"/>
      <c r="B2" s="5" t="str">
        <v>THE DATA ECONOMY OF PUBLIC PROTEOMICS</v>
      </c>
      <c r="C2" s="5"/>
      <c r="D2" s="5"/>
      <c r="E2" s="5"/>
      <c r="F2" s="3"/>
    </row>
    <row r="3" ht="30" customHeight="1">
      <c r="A3" s="3"/>
      <c r="B3" s="7" t="str">
        <v>Thirteen years of PRIDE</v>
      </c>
      <c r="C3" s="7"/>
      <c r="D3" s="7"/>
      <c r="E3" s="7"/>
      <c r="F3" s="3"/>
    </row>
    <row r="4" ht="23" customHeight="1">
      <c r="A4" s="3"/>
      <c r="B4" s="9" t="str">
        <v>Supplementary tables S1–S22</v>
      </c>
      <c r="C4" s="9"/>
      <c r="D4" s="9"/>
      <c r="E4" s="9"/>
      <c r="F4" s="3"/>
    </row>
    <row r="5" ht="23" customHeight="1">
      <c r="A5" s="3"/>
      <c r="B5" s="10"/>
      <c r="C5" s="10"/>
      <c r="D5" s="10"/>
      <c r="E5" s="10"/>
      <c r="F5" s="3"/>
    </row>
    <row r="6" ht="23" customHeight="1">
      <c r="A6" s="3"/>
      <c r="B6" s="3"/>
      <c r="C6" s="3"/>
      <c r="D6" s="3"/>
      <c r="E6" s="3"/>
      <c r="F6" s="3"/>
    </row>
    <row r="7" ht="23" customHeight="1">
      <c r="A7" s="3"/>
      <c r="B7" s="12" t="str">
        <v>Filip Rumenovski · Department of Chemistry, Wayne State University</v>
      </c>
      <c r="C7" s="12"/>
      <c r="D7" s="12"/>
      <c r="E7" s="12"/>
      <c r="F7" s="3"/>
    </row>
    <row r="8" ht="23" customHeight="1">
      <c r="A8" s="3"/>
      <c r="B8" s="12" t="str">
        <v>Select a table number to open it. Each table includes its definition and data source.</v>
      </c>
      <c r="C8" s="12"/>
      <c r="D8" s="12"/>
      <c r="E8" s="12"/>
      <c r="F8" s="3"/>
    </row>
    <row r="9" ht="23" customHeight="1">
      <c r="A9" s="3"/>
      <c r="B9" s="3"/>
      <c r="C9" s="3"/>
      <c r="D9" s="3"/>
      <c r="E9" s="3"/>
      <c r="F9" s="3"/>
    </row>
    <row r="10" ht="28" customHeight="1">
      <c r="A10" s="3"/>
      <c r="B10" s="15" t="str">
        <v>Table</v>
      </c>
      <c r="C10" s="15" t="str">
        <v>Contents</v>
      </c>
      <c r="D10" s="15" t="str">
        <v>Related figure</v>
      </c>
      <c r="E10" s="15" t="str">
        <v>Rows</v>
      </c>
      <c r="F10" s="3"/>
    </row>
    <row r="11" ht="29" customHeight="1">
      <c r="A11" s="3"/>
      <c r="B11" s="22" t="str">
        <v>S1</v>
      </c>
      <c r="C11" s="23" t="str">
        <v>Cohort and coverage</v>
      </c>
      <c r="D11" s="24" t="str">
        <v>Study cohort</v>
      </c>
      <c r="E11" s="25" t="n">
        <v>13</v>
      </c>
      <c r="F11" s="3"/>
    </row>
    <row r="12" ht="29" customHeight="1">
      <c r="A12" s="3"/>
      <c r="B12" s="16" t="str">
        <v>S2</v>
      </c>
      <c r="C12" s="26" t="str">
        <v>Diversity through time</v>
      </c>
      <c r="D12" s="12" t="str">
        <v>Fig. 1a</v>
      </c>
      <c r="E12" s="27" t="n">
        <v>80</v>
      </c>
      <c r="F12" s="3"/>
    </row>
    <row r="13" ht="29" customHeight="1">
      <c r="A13" s="3"/>
      <c r="B13" s="17" t="str">
        <v>S3</v>
      </c>
      <c r="C13" s="19" t="str">
        <v>Diversity across periods</v>
      </c>
      <c r="D13" s="20" t="str">
        <v>Fig. 1b</v>
      </c>
      <c r="E13" s="21" t="n">
        <v>8</v>
      </c>
      <c r="F13" s="3"/>
    </row>
    <row r="14" ht="29" customHeight="1">
      <c r="A14" s="3"/>
      <c r="B14" s="16" t="str">
        <v>S4</v>
      </c>
      <c r="C14" s="26" t="str">
        <v>Concentration among contributor groups</v>
      </c>
      <c r="D14" s="12" t="str">
        <v>Supplementary Fig. 1</v>
      </c>
      <c r="E14" s="27" t="n">
        <v>18</v>
      </c>
      <c r="F14" s="3"/>
    </row>
    <row r="15" ht="29" customHeight="1">
      <c r="A15" s="3"/>
      <c r="B15" s="17" t="str">
        <v>S5</v>
      </c>
      <c r="C15" s="19" t="str">
        <v>Contributor groups by deposit count</v>
      </c>
      <c r="D15" s="20" t="str">
        <v>Supplementary Fig. 1</v>
      </c>
      <c r="E15" s="21" t="n">
        <v>7</v>
      </c>
      <c r="F15" s="3"/>
    </row>
    <row r="16" ht="29" customHeight="1">
      <c r="A16" s="3"/>
      <c r="B16" s="16" t="str">
        <v>S6</v>
      </c>
      <c r="C16" s="26" t="str">
        <v>Country comparisons</v>
      </c>
      <c r="D16" s="12" t="str">
        <v>Fig. 1e–g; Supplementary Figs 10–11</v>
      </c>
      <c r="E16" s="27" t="n">
        <v>65</v>
      </c>
      <c r="F16" s="3"/>
    </row>
    <row r="17" ht="29" customHeight="1">
      <c r="A17" s="3"/>
      <c r="B17" s="17" t="str">
        <v>S7</v>
      </c>
      <c r="C17" s="19" t="str">
        <v>Instrument models and raw-run size</v>
      </c>
      <c r="D17" s="20" t="str">
        <v>Figs 2d, 3a; Supplementary Figs 2–3</v>
      </c>
      <c r="E17" s="21" t="n">
        <v>37</v>
      </c>
      <c r="F17" s="3"/>
    </row>
    <row r="18" ht="29" customHeight="1">
      <c r="A18" s="3"/>
      <c r="B18" s="16" t="str">
        <v>S8</v>
      </c>
      <c r="C18" s="26" t="str">
        <v>Raw-run counts and sensitivity analyses</v>
      </c>
      <c r="D18" s="12" t="str">
        <v>Fig. 2c</v>
      </c>
      <c r="E18" s="27" t="n">
        <v>71</v>
      </c>
      <c r="F18" s="3"/>
    </row>
    <row r="19" ht="29" customHeight="1">
      <c r="A19" s="3"/>
      <c r="B19" s="22" t="str">
        <v>S9</v>
      </c>
      <c r="C19" s="23" t="str">
        <v>Standard results by analysis tool</v>
      </c>
      <c r="D19" s="24" t="str">
        <v>Fig. 4a–b</v>
      </c>
      <c r="E19" s="25" t="n">
        <v>25</v>
      </c>
      <c r="F19" s="3"/>
    </row>
    <row r="20" ht="29" customHeight="1">
      <c r="A20" s="3"/>
      <c r="B20" s="16" t="str">
        <v>S10</v>
      </c>
      <c r="C20" s="26" t="str">
        <v>Standard results by export capability</v>
      </c>
      <c r="D20" s="12" t="str">
        <v>Fig. 4b</v>
      </c>
      <c r="E20" s="27" t="n">
        <v>4</v>
      </c>
      <c r="F20" s="3"/>
    </row>
    <row r="21" ht="29" customHeight="1">
      <c r="A21" s="3"/>
      <c r="B21" s="17" t="str">
        <v>S11</v>
      </c>
      <c r="C21" s="19" t="str">
        <v>Age of software releases</v>
      </c>
      <c r="D21" s="20" t="str">
        <v>Supplementary Fig. 5</v>
      </c>
      <c r="E21" s="21" t="n">
        <v>5</v>
      </c>
      <c r="F21" s="3"/>
    </row>
    <row r="22" ht="29" customHeight="1">
      <c r="A22" s="3"/>
      <c r="B22" s="16" t="str">
        <v>S12</v>
      </c>
      <c r="C22" s="26" t="str">
        <v>Software version series in 2025</v>
      </c>
      <c r="D22" s="12" t="str">
        <v>Supplementary Fig. 4</v>
      </c>
      <c r="E22" s="27" t="n">
        <v>5</v>
      </c>
      <c r="F22" s="3"/>
    </row>
    <row r="23" ht="29" customHeight="1">
      <c r="A23" s="3"/>
      <c r="B23" s="17" t="str">
        <v>S13</v>
      </c>
      <c r="C23" s="19" t="str">
        <v>Results found at each search depth</v>
      </c>
      <c r="D23" s="20" t="str">
        <v>Fig. 4c–d</v>
      </c>
      <c r="E23" s="21" t="n">
        <v>13</v>
      </c>
      <c r="F23" s="3"/>
    </row>
    <row r="24" ht="29" customHeight="1">
      <c r="A24" s="3"/>
      <c r="B24" s="16" t="str">
        <v>S14</v>
      </c>
      <c r="C24" s="26" t="str">
        <v>Documentation across successive deposits</v>
      </c>
      <c r="D24" s="12" t="str">
        <v>Fig. 4e</v>
      </c>
      <c r="E24" s="27" t="n">
        <v>8</v>
      </c>
      <c r="F24" s="3"/>
    </row>
    <row r="25" ht="29" customHeight="1">
      <c r="A25" s="3"/>
      <c r="B25" s="22" t="str">
        <v>S15</v>
      </c>
      <c r="C25" s="23" t="str">
        <v>Time between stages of a study</v>
      </c>
      <c r="D25" s="24" t="str">
        <v>Fig. 5a</v>
      </c>
      <c r="E25" s="25" t="n">
        <v>9</v>
      </c>
      <c r="F25" s="3"/>
    </row>
    <row r="26" ht="29" customHeight="1">
      <c r="A26" s="3"/>
      <c r="B26" s="16" t="str">
        <v>S16</v>
      </c>
      <c r="C26" s="26" t="str">
        <v>Public release relative to publication</v>
      </c>
      <c r="D26" s="12" t="str">
        <v>Supplementary Fig. 13</v>
      </c>
      <c r="E26" s="27" t="n">
        <v>3</v>
      </c>
      <c r="F26" s="3"/>
    </row>
    <row r="27" ht="29" customHeight="1">
      <c r="A27" s="3"/>
      <c r="B27" s="22" t="str">
        <v>S17</v>
      </c>
      <c r="C27" s="23" t="str">
        <v>Journals publishing PRIDE-linked papers</v>
      </c>
      <c r="D27" s="24" t="str">
        <v>Fig. 5b–c</v>
      </c>
      <c r="E27" s="25" t="n">
        <v>15</v>
      </c>
      <c r="F27" s="3"/>
    </row>
    <row r="28" ht="29" customHeight="1">
      <c r="A28" s="3"/>
      <c r="B28" s="16" t="str">
        <v>S18</v>
      </c>
      <c r="C28" s="26" t="str">
        <v>Journal diversity and concentration</v>
      </c>
      <c r="D28" s="12" t="str">
        <v>Fig. 5c</v>
      </c>
      <c r="E28" s="27" t="n">
        <v>13</v>
      </c>
      <c r="F28" s="3"/>
    </row>
    <row r="29" ht="29" customHeight="1">
      <c r="A29" s="3"/>
      <c r="B29" s="17" t="str">
        <v>S19</v>
      </c>
      <c r="C29" s="19" t="str">
        <v>Accession mentions by dataset characteristics</v>
      </c>
      <c r="D29" s="20" t="str">
        <v>Fig. 5d</v>
      </c>
      <c r="E29" s="21" t="n">
        <v>168</v>
      </c>
      <c r="F29" s="3"/>
    </row>
    <row r="30" ht="29" customHeight="1">
      <c r="A30" s="3"/>
      <c r="B30" s="16" t="str">
        <v>S20</v>
      </c>
      <c r="C30" s="26" t="str">
        <v>Adjusted associations and sensitivity analyses</v>
      </c>
      <c r="D30" s="12" t="str">
        <v>Fig. 5e</v>
      </c>
      <c r="E30" s="27" t="n">
        <v>17</v>
      </c>
      <c r="F30" s="3"/>
    </row>
    <row r="31" ht="29" customHeight="1">
      <c r="A31" s="3"/>
      <c r="B31" s="22" t="str">
        <v>S21</v>
      </c>
      <c r="C31" s="23" t="str">
        <v>Findings and robustness assessments</v>
      </c>
      <c r="D31" s="24" t="str">
        <v>Robustness ledger</v>
      </c>
      <c r="E31" s="25" t="n">
        <v>107</v>
      </c>
      <c r="F31" s="3"/>
    </row>
    <row r="32" ht="32" customHeight="1">
      <c r="A32" s="3"/>
      <c r="B32" s="16" t="str">
        <v>S22</v>
      </c>
      <c r="C32" s="26" t="str">
        <v>Supporting numerical comparisons</v>
      </c>
      <c r="D32" s="12" t="str">
        <v>Supporting comparisons</v>
      </c>
      <c r="E32" s="27" t="n">
        <v>94</v>
      </c>
      <c r="F32" s="3"/>
    </row>
    <row r="33" ht="23" customHeight="1">
      <c r="A33" s="3"/>
      <c r="B33" s="3"/>
      <c r="C33" s="3"/>
      <c r="D33" s="3"/>
      <c r="E33" s="3"/>
      <c r="F33" s="3"/>
    </row>
    <row r="34" ht="23" customHeight="1">
      <c r="A34" s="3"/>
      <c r="B34" s="12" t="str">
        <v>PRIDE snapshot: 7 April 2026. Public dataset releases: 2013–2025.</v>
      </c>
      <c r="C34" s="12"/>
      <c r="D34" s="12"/>
      <c r="E34" s="12"/>
      <c r="F34" s="3"/>
    </row>
    <row r="35" ht="23" customHeight="1">
      <c r="A35" s="3"/>
      <c r="B35" s="12" t="str">
        <v>Blank cells mean unavailable or not applicable; they are not zeros.</v>
      </c>
      <c r="C35" s="12"/>
      <c r="D35" s="12"/>
      <c r="E35" s="12"/>
      <c r="F35" s="3"/>
    </row>
    <row r="36" ht="23" customHeight="1">
      <c r="A36" s="3"/>
      <c r="B36" s="3"/>
      <c r="C36" s="3"/>
      <c r="D36" s="3"/>
      <c r="E36" s="3"/>
      <c r="F36" s="3"/>
    </row>
    <row r="37" ht="23" customHeight="1">
      <c r="A37" s="3"/>
      <c r="B37" s="3"/>
      <c r="C37" s="3"/>
      <c r="D37" s="3"/>
      <c r="E37" s="3"/>
      <c r="F37" s="3"/>
    </row>
    <row r="38" ht="23" customHeight="1">
      <c r="A38" s="3"/>
      <c r="B38" s="3"/>
      <c r="C38" s="3"/>
      <c r="D38" s="3"/>
      <c r="E38" s="3"/>
      <c r="F38" s="3"/>
    </row>
    <row r="39" ht="23" customHeight="1">
      <c r="A39" s="3"/>
      <c r="B39" s="3"/>
      <c r="C39" s="3"/>
      <c r="D39" s="3"/>
      <c r="E39" s="3"/>
      <c r="F39" s="3"/>
    </row>
    <row r="40" ht="23" customHeight="1">
      <c r="A40" s="3"/>
      <c r="B40" s="3"/>
      <c r="C40" s="3"/>
      <c r="D40" s="3"/>
      <c r="E40" s="3"/>
      <c r="F40" s="3"/>
    </row>
  </sheetData>
  <mergeCells>
    <mergeCell ref="B2:E2"/>
    <mergeCell ref="B3:E3"/>
    <mergeCell ref="B4:E4"/>
    <mergeCell ref="B7:E7"/>
    <mergeCell ref="B8:E8"/>
    <mergeCell ref="B34:E34"/>
    <mergeCell ref="B35:E35"/>
  </mergeCells>
  <hyperlinks>
    <hyperlink ref="B11" location="'S1'!B2"/>
    <hyperlink ref="B12" location="'S2'!B2"/>
    <hyperlink ref="B13" location="'S3'!B2"/>
    <hyperlink ref="B14" location="'S4'!B2"/>
    <hyperlink ref="B15" location="'S5'!B2"/>
    <hyperlink ref="B16" location="'S6'!B2"/>
    <hyperlink ref="B17" location="'S7'!B2"/>
    <hyperlink ref="B18" location="'S8'!B2"/>
    <hyperlink ref="B19" location="'S9'!B2"/>
    <hyperlink ref="B20" location="'S10'!B2"/>
    <hyperlink ref="B21" location="'S11'!B2"/>
    <hyperlink ref="B22" location="'S12'!B2"/>
    <hyperlink ref="B23" location="'S13'!B2"/>
    <hyperlink ref="B24" location="'S14'!B2"/>
    <hyperlink ref="B25" location="'S15'!B2"/>
    <hyperlink ref="B26" location="'S16'!B2"/>
    <hyperlink ref="B27" location="'S17'!B2"/>
    <hyperlink ref="B28" location="'S18'!B2"/>
    <hyperlink ref="B29" location="'S19'!B2"/>
    <hyperlink ref="B30" location="'S20'!B2"/>
    <hyperlink ref="B31" location="'S21'!B2"/>
    <hyperlink ref="B32" location="'S22'!B2"/>
  </hyperlinks>
  <printOptions headings="0" gridLines="0" horizontalCentered="0"/>
  <pageMargins left="0.3" right="0.3" top="0.4" bottom="0.4" header="0.15" footer="0.2"/>
  <pageSetup paperSize="9" orientation="portrait" scale="90" useFirstPageNumber="0"/>
  <headerFooter>
    <oddFooter>&amp;LPRIDE supplementary tables&amp;CContents&amp;RPage &amp;P of &amp;N</oddFooter>
  </headerFooter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3" customHeight="1">
      <c r="A2" s="3"/>
      <c r="B2" s="5" t="str">
        <v>SUPPLEMENTARY TABLE S1</v>
      </c>
      <c r="C2" s="5"/>
      <c r="D2" s="5"/>
      <c r="E2" s="5"/>
      <c r="F2" s="5"/>
      <c r="G2" s="5"/>
      <c r="H2" s="3"/>
      <c r="I2" s="3"/>
      <c r="J2" s="3"/>
      <c r="K2" s="3"/>
      <c r="L2" s="3"/>
      <c r="M2" s="3"/>
      <c r="N2" s="3"/>
    </row>
    <row r="3" ht="30" customHeight="1">
      <c r="A3" s="3"/>
      <c r="B3" s="7" t="str">
        <v>Cohort and coverage</v>
      </c>
      <c r="C3" s="7"/>
      <c r="D3" s="7"/>
      <c r="E3" s="7"/>
      <c r="F3" s="7"/>
      <c r="G3" s="7"/>
      <c r="H3" s="3"/>
      <c r="I3" s="3"/>
      <c r="J3" s="3"/>
      <c r="K3" s="3"/>
      <c r="L3" s="3"/>
      <c r="M3" s="3"/>
      <c r="N3" s="3"/>
    </row>
    <row r="4" ht="29" customHeight="1">
      <c r="A4" s="3"/>
      <c r="B4" s="12" t="str">
        <v>Public releases, 2013–2025. Percentages use the datasets in each release year.</v>
      </c>
      <c r="C4" s="12"/>
      <c r="D4" s="12"/>
      <c r="E4" s="12"/>
      <c r="F4" s="12"/>
      <c r="G4" s="12"/>
      <c r="H4" s="3"/>
      <c r="I4" s="3"/>
      <c r="J4" s="3"/>
      <c r="K4" s="3"/>
      <c r="L4" s="3"/>
      <c r="M4" s="3"/>
      <c r="N4" s="3"/>
    </row>
    <row r="5" ht="23" customHeight="1">
      <c r="A5" s="3"/>
      <c r="B5" s="28"/>
      <c r="C5" s="28"/>
      <c r="D5" s="28"/>
      <c r="E5" s="28"/>
      <c r="F5" s="28"/>
      <c r="G5" s="28"/>
      <c r="H5" s="3"/>
      <c r="I5" s="3"/>
      <c r="J5" s="3"/>
      <c r="K5" s="3"/>
      <c r="L5" s="3"/>
      <c r="M5" s="3"/>
      <c r="N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54" customHeight="1">
      <c r="A7" s="3"/>
      <c r="B7" s="35" t="str">
        <v>Release year</v>
      </c>
      <c r="C7" s="36" t="str">
        <v>Datasets</v>
      </c>
      <c r="D7" s="36" t="str">
        <v>Contributor groups</v>
      </c>
      <c r="E7" s="36" t="str">
        <v>Country assigned (%)</v>
      </c>
      <c r="F7" s="36" t="str">
        <v>Linked paper (%)</v>
      </c>
      <c r="G7" s="36" t="str">
        <v>First-time groups (%)</v>
      </c>
      <c r="H7" s="36" t="str">
        <v>DIA detected (%)</v>
      </c>
      <c r="I7" s="36" t="str">
        <v>Thermo Fisher only (%)</v>
      </c>
      <c r="J7" s="36" t="str">
        <v>Bruker only (%)</v>
      </c>
      <c r="K7" s="36" t="str">
        <v>Standard result files (%)</v>
      </c>
      <c r="L7" s="36" t="str">
        <v>Identifiable results (%)</v>
      </c>
      <c r="M7" s="37" t="str">
        <v>Human samples (%)</v>
      </c>
      <c r="N7" s="3"/>
    </row>
    <row r="8" ht="27" customHeight="1">
      <c r="A8" s="3"/>
      <c r="B8" s="40" t="n">
        <v>2013</v>
      </c>
      <c r="C8" s="44" t="n">
        <v>254</v>
      </c>
      <c r="D8" s="44" t="n">
        <v>198</v>
      </c>
      <c r="E8" s="48" t="n">
        <v>78</v>
      </c>
      <c r="F8" s="48" t="n">
        <v>94.1</v>
      </c>
      <c r="G8" s="48" t="n">
        <v>100</v>
      </c>
      <c r="H8" s="48" t="n">
        <v>0.8</v>
      </c>
      <c r="I8" s="48" t="n">
        <v>67.3</v>
      </c>
      <c r="J8" s="48" t="n">
        <v>2.4</v>
      </c>
      <c r="K8" s="48" t="n">
        <v>9.4</v>
      </c>
      <c r="L8" s="48" t="n">
        <v>96.5</v>
      </c>
      <c r="M8" s="48" t="n">
        <v>40.9</v>
      </c>
      <c r="N8" s="3"/>
    </row>
    <row r="9" ht="27" customHeight="1">
      <c r="A9" s="3"/>
      <c r="B9" s="41" t="n">
        <v>2014</v>
      </c>
      <c r="C9" s="45" t="n">
        <v>483</v>
      </c>
      <c r="D9" s="45" t="n">
        <v>352</v>
      </c>
      <c r="E9" s="49" t="n">
        <v>74.1</v>
      </c>
      <c r="F9" s="49" t="n">
        <v>91.9</v>
      </c>
      <c r="G9" s="49" t="n">
        <v>89.4</v>
      </c>
      <c r="H9" s="49" t="n">
        <v>1.7</v>
      </c>
      <c r="I9" s="49" t="n">
        <v>75.6</v>
      </c>
      <c r="J9" s="49" t="n">
        <v>2.9</v>
      </c>
      <c r="K9" s="49" t="n">
        <v>13</v>
      </c>
      <c r="L9" s="49" t="n">
        <v>90.5</v>
      </c>
      <c r="M9" s="49" t="n">
        <v>42.7</v>
      </c>
      <c r="N9" s="3"/>
    </row>
    <row r="10" ht="27" customHeight="1">
      <c r="A10" s="3"/>
      <c r="B10" s="40" t="n">
        <v>2015</v>
      </c>
      <c r="C10" s="44" t="n">
        <v>794</v>
      </c>
      <c r="D10" s="44" t="n">
        <v>500</v>
      </c>
      <c r="E10" s="48" t="n">
        <v>80</v>
      </c>
      <c r="F10" s="48" t="n">
        <v>94.8</v>
      </c>
      <c r="G10" s="48" t="n">
        <v>70.8</v>
      </c>
      <c r="H10" s="48" t="n">
        <v>2.8</v>
      </c>
      <c r="I10" s="48" t="n">
        <v>81.7</v>
      </c>
      <c r="J10" s="48" t="n">
        <v>2.5</v>
      </c>
      <c r="K10" s="48" t="n">
        <v>19.3</v>
      </c>
      <c r="L10" s="48" t="n">
        <v>92.1</v>
      </c>
      <c r="M10" s="48" t="n">
        <v>40.8</v>
      </c>
      <c r="N10" s="3"/>
    </row>
    <row r="11" ht="27" customHeight="1">
      <c r="A11" s="3"/>
      <c r="B11" s="41" t="n">
        <v>2016</v>
      </c>
      <c r="C11" s="45" t="n">
        <v>1195</v>
      </c>
      <c r="D11" s="45" t="n">
        <v>739</v>
      </c>
      <c r="E11" s="49" t="n">
        <v>77.4</v>
      </c>
      <c r="F11" s="49" t="n">
        <v>91.5</v>
      </c>
      <c r="G11" s="49" t="n">
        <v>58.5</v>
      </c>
      <c r="H11" s="49" t="n">
        <v>2.8</v>
      </c>
      <c r="I11" s="49" t="n">
        <v>82.8</v>
      </c>
      <c r="J11" s="49" t="n">
        <v>2.3</v>
      </c>
      <c r="K11" s="49" t="n">
        <v>16.8</v>
      </c>
      <c r="L11" s="49" t="n">
        <v>91</v>
      </c>
      <c r="M11" s="49" t="n">
        <v>42.9</v>
      </c>
      <c r="N11" s="3"/>
    </row>
    <row r="12" ht="27" customHeight="1">
      <c r="A12" s="3"/>
      <c r="B12" s="40" t="n">
        <v>2017</v>
      </c>
      <c r="C12" s="44" t="n">
        <v>1310</v>
      </c>
      <c r="D12" s="44" t="n">
        <v>860</v>
      </c>
      <c r="E12" s="48" t="n">
        <v>79.2</v>
      </c>
      <c r="F12" s="48" t="n">
        <v>93.2</v>
      </c>
      <c r="G12" s="48" t="n">
        <v>53.5</v>
      </c>
      <c r="H12" s="48" t="n">
        <v>4.5</v>
      </c>
      <c r="I12" s="48" t="n">
        <v>85.5</v>
      </c>
      <c r="J12" s="48" t="n">
        <v>2.3</v>
      </c>
      <c r="K12" s="48" t="n">
        <v>17.3</v>
      </c>
      <c r="L12" s="48" t="n">
        <v>89.6</v>
      </c>
      <c r="M12" s="48" t="n">
        <v>41.9</v>
      </c>
      <c r="N12" s="3"/>
    </row>
    <row r="13" ht="27" customHeight="1">
      <c r="A13" s="3"/>
      <c r="B13" s="41" t="n">
        <v>2018</v>
      </c>
      <c r="C13" s="45" t="n">
        <v>2168</v>
      </c>
      <c r="D13" s="45" t="n">
        <v>1387</v>
      </c>
      <c r="E13" s="49" t="n">
        <v>77</v>
      </c>
      <c r="F13" s="49" t="n">
        <v>89.9</v>
      </c>
      <c r="G13" s="49" t="n">
        <v>52.5</v>
      </c>
      <c r="H13" s="49" t="n">
        <v>4.2</v>
      </c>
      <c r="I13" s="49" t="n">
        <v>85.1</v>
      </c>
      <c r="J13" s="49" t="n">
        <v>2.7</v>
      </c>
      <c r="K13" s="49" t="n">
        <v>18.1</v>
      </c>
      <c r="L13" s="49" t="n">
        <v>89.3</v>
      </c>
      <c r="M13" s="49" t="n">
        <v>46.1</v>
      </c>
      <c r="N13" s="3"/>
    </row>
    <row r="14" ht="27" customHeight="1">
      <c r="A14" s="3"/>
      <c r="B14" s="40" t="n">
        <v>2019</v>
      </c>
      <c r="C14" s="44" t="n">
        <v>2545</v>
      </c>
      <c r="D14" s="44" t="n">
        <v>1578</v>
      </c>
      <c r="E14" s="48" t="n">
        <v>78.8</v>
      </c>
      <c r="F14" s="48" t="n">
        <v>87.2</v>
      </c>
      <c r="G14" s="48" t="n">
        <v>49</v>
      </c>
      <c r="H14" s="48" t="n">
        <v>4.6</v>
      </c>
      <c r="I14" s="48" t="n">
        <v>85.2</v>
      </c>
      <c r="J14" s="48" t="n">
        <v>2.9</v>
      </c>
      <c r="K14" s="48" t="n">
        <v>17.2</v>
      </c>
      <c r="L14" s="48" t="n">
        <v>87.1</v>
      </c>
      <c r="M14" s="48" t="n">
        <v>44.3</v>
      </c>
      <c r="N14" s="3"/>
    </row>
    <row r="15" ht="27" customHeight="1">
      <c r="A15" s="3"/>
      <c r="B15" s="41" t="n">
        <v>2020</v>
      </c>
      <c r="C15" s="45" t="n">
        <v>2992</v>
      </c>
      <c r="D15" s="45" t="n">
        <v>1883</v>
      </c>
      <c r="E15" s="49" t="n">
        <v>77.4</v>
      </c>
      <c r="F15" s="49" t="n">
        <v>76.4</v>
      </c>
      <c r="G15" s="49" t="n">
        <v>48.1</v>
      </c>
      <c r="H15" s="49" t="n">
        <v>5.3</v>
      </c>
      <c r="I15" s="49" t="n">
        <v>85.7</v>
      </c>
      <c r="J15" s="49" t="n">
        <v>3.9</v>
      </c>
      <c r="K15" s="49" t="n">
        <v>19</v>
      </c>
      <c r="L15" s="49" t="n">
        <v>86.8</v>
      </c>
      <c r="M15" s="49" t="n">
        <v>43.7</v>
      </c>
      <c r="N15" s="3"/>
    </row>
    <row r="16" ht="27" customHeight="1">
      <c r="A16" s="3"/>
      <c r="B16" s="40" t="n">
        <v>2021</v>
      </c>
      <c r="C16" s="44" t="n">
        <v>3999</v>
      </c>
      <c r="D16" s="44" t="n">
        <v>2380</v>
      </c>
      <c r="E16" s="48" t="n">
        <v>78.7</v>
      </c>
      <c r="F16" s="48" t="n">
        <v>60.6</v>
      </c>
      <c r="G16" s="48" t="n">
        <v>45.6</v>
      </c>
      <c r="H16" s="48" t="n">
        <v>5.9</v>
      </c>
      <c r="I16" s="48" t="n">
        <v>87.2</v>
      </c>
      <c r="J16" s="48" t="n">
        <v>3.8</v>
      </c>
      <c r="K16" s="48" t="n">
        <v>18.7</v>
      </c>
      <c r="L16" s="48" t="n">
        <v>86.5</v>
      </c>
      <c r="M16" s="48" t="n">
        <v>46</v>
      </c>
      <c r="N16" s="3"/>
    </row>
    <row r="17" ht="27" customHeight="1">
      <c r="A17" s="3"/>
      <c r="B17" s="41" t="n">
        <v>2022</v>
      </c>
      <c r="C17" s="45" t="n">
        <v>4944</v>
      </c>
      <c r="D17" s="45" t="n">
        <v>2970</v>
      </c>
      <c r="E17" s="49" t="n">
        <v>77.9</v>
      </c>
      <c r="F17" s="49" t="n">
        <v>72.8</v>
      </c>
      <c r="G17" s="49" t="n">
        <v>43.5</v>
      </c>
      <c r="H17" s="49" t="n">
        <v>6.2</v>
      </c>
      <c r="I17" s="49" t="n">
        <v>85.3</v>
      </c>
      <c r="J17" s="49" t="n">
        <v>4.6</v>
      </c>
      <c r="K17" s="49" t="n">
        <v>19.8</v>
      </c>
      <c r="L17" s="49" t="n">
        <v>84.7</v>
      </c>
      <c r="M17" s="49" t="n">
        <v>48.4</v>
      </c>
      <c r="N17" s="3"/>
    </row>
    <row r="18" ht="27" customHeight="1">
      <c r="A18" s="3"/>
      <c r="B18" s="40" t="n">
        <v>2023</v>
      </c>
      <c r="C18" s="44" t="n">
        <v>4616</v>
      </c>
      <c r="D18" s="44" t="n">
        <v>2781</v>
      </c>
      <c r="E18" s="48" t="n">
        <v>77.4</v>
      </c>
      <c r="F18" s="48" t="n">
        <v>73.4</v>
      </c>
      <c r="G18" s="48" t="n">
        <v>44.4</v>
      </c>
      <c r="H18" s="48" t="n">
        <v>8.9</v>
      </c>
      <c r="I18" s="48" t="n">
        <v>85.2</v>
      </c>
      <c r="J18" s="48" t="n">
        <v>7</v>
      </c>
      <c r="K18" s="48" t="n">
        <v>18.1</v>
      </c>
      <c r="L18" s="48" t="n">
        <v>83.6</v>
      </c>
      <c r="M18" s="48" t="n">
        <v>49.1</v>
      </c>
      <c r="N18" s="3"/>
    </row>
    <row r="19" ht="27" customHeight="1">
      <c r="A19" s="3"/>
      <c r="B19" s="41" t="n">
        <v>2024</v>
      </c>
      <c r="C19" s="45" t="n">
        <v>4718</v>
      </c>
      <c r="D19" s="45" t="n">
        <v>2862</v>
      </c>
      <c r="E19" s="49" t="n">
        <v>78.7</v>
      </c>
      <c r="F19" s="49" t="n">
        <v>68.6</v>
      </c>
      <c r="G19" s="49" t="n">
        <v>42.3</v>
      </c>
      <c r="H19" s="49" t="n">
        <v>13.6</v>
      </c>
      <c r="I19" s="49" t="n">
        <v>83.9</v>
      </c>
      <c r="J19" s="49" t="n">
        <v>8.6</v>
      </c>
      <c r="K19" s="49" t="n">
        <v>16.8</v>
      </c>
      <c r="L19" s="49" t="n">
        <v>84</v>
      </c>
      <c r="M19" s="49" t="n">
        <v>49.1</v>
      </c>
      <c r="N19" s="3"/>
    </row>
    <row r="20" ht="27" customHeight="1">
      <c r="A20" s="3"/>
      <c r="B20" s="50" t="n">
        <v>2025</v>
      </c>
      <c r="C20" s="51" t="n">
        <v>6231</v>
      </c>
      <c r="D20" s="51" t="n">
        <v>3607</v>
      </c>
      <c r="E20" s="52" t="n">
        <v>77.1</v>
      </c>
      <c r="F20" s="52" t="n">
        <v>67.2</v>
      </c>
      <c r="G20" s="52" t="n">
        <v>44.4</v>
      </c>
      <c r="H20" s="52" t="n">
        <v>21.1</v>
      </c>
      <c r="I20" s="52" t="n">
        <v>77.8</v>
      </c>
      <c r="J20" s="52" t="n">
        <v>13.7</v>
      </c>
      <c r="K20" s="52" t="n">
        <v>16.3</v>
      </c>
      <c r="L20" s="52" t="n">
        <v>82.2</v>
      </c>
      <c r="M20" s="52" t="n">
        <v>52</v>
      </c>
      <c r="N20" s="3"/>
    </row>
    <row r="21" ht="23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23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23" customHeight="1">
      <c r="A23" s="3"/>
      <c r="B23" s="53" t="str">
        <v>Table scope</v>
      </c>
      <c r="C23" s="5"/>
      <c r="D23" s="5"/>
      <c r="E23" s="5"/>
      <c r="F23" s="5"/>
      <c r="G23" s="5"/>
      <c r="H23" s="3"/>
      <c r="I23" s="3"/>
      <c r="J23" s="3"/>
      <c r="K23" s="3"/>
      <c r="L23" s="3"/>
      <c r="M23" s="3"/>
      <c r="N23" s="3"/>
    </row>
    <row r="24" ht="27" customHeight="1">
      <c r="A24" s="3"/>
      <c r="B24" s="12" t="str">
        <v>Cohort and denominators by release year</v>
      </c>
      <c r="C24" s="12"/>
      <c r="D24" s="12"/>
      <c r="E24" s="12"/>
      <c r="F24" s="12"/>
      <c r="G24" s="12"/>
      <c r="H24" s="3"/>
      <c r="I24" s="3"/>
      <c r="J24" s="3"/>
      <c r="K24" s="3"/>
      <c r="L24" s="3"/>
      <c r="M24" s="3"/>
      <c r="N24" s="3"/>
    </row>
    <row r="25" ht="23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23" customHeight="1">
      <c r="A26" s="3"/>
      <c r="B26" s="53" t="str">
        <v>Definition</v>
      </c>
      <c r="C26" s="5"/>
      <c r="D26" s="5"/>
      <c r="E26" s="5"/>
      <c r="F26" s="5"/>
      <c r="G26" s="5"/>
      <c r="H26" s="3"/>
      <c r="I26" s="3"/>
      <c r="J26" s="3"/>
      <c r="K26" s="3"/>
      <c r="L26" s="3"/>
      <c r="M26" s="3"/>
      <c r="N26" s="3"/>
    </row>
    <row r="27" ht="57" customHeight="1">
      <c r="A27" s="3"/>
      <c r="B27" s="12" t="str">
        <v>All 36,249 PRIDE datasets released 2013–2025. Standard result files = corrected non-generated expanded mzIdentML/mzTab definition. Identifiable results = file names, archive members and table headers; rule-based detection with unmeasured sensitivity and false-positive rates. Contributor group = hashed PI contact.</v>
      </c>
      <c r="C27" s="12"/>
      <c r="D27" s="12"/>
      <c r="E27" s="12"/>
      <c r="F27" s="12"/>
      <c r="G27" s="12"/>
      <c r="H27" s="3"/>
      <c r="I27" s="3"/>
      <c r="J27" s="3"/>
      <c r="K27" s="3"/>
      <c r="L27" s="3"/>
      <c r="M27" s="3"/>
      <c r="N27" s="3"/>
    </row>
    <row r="28" ht="23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23" customHeight="1">
      <c r="A29" s="3"/>
      <c r="B29" s="53" t="str">
        <v>Source</v>
      </c>
      <c r="C29" s="5"/>
      <c r="D29" s="5"/>
      <c r="E29" s="5"/>
      <c r="F29" s="5"/>
      <c r="G29" s="5"/>
      <c r="H29" s="3"/>
      <c r="I29" s="3"/>
      <c r="J29" s="3"/>
      <c r="K29" s="3"/>
      <c r="L29" s="3"/>
      <c r="M29" s="3"/>
      <c r="N29" s="3"/>
    </row>
    <row r="30" ht="27" customHeight="1">
      <c r="A30" s="3"/>
      <c r="B30" s="12" t="str">
        <v>Deposit-features.parquet; Habits/Dataset-form.csv.gz</v>
      </c>
      <c r="C30" s="12"/>
      <c r="D30" s="12"/>
      <c r="E30" s="12"/>
      <c r="F30" s="12"/>
      <c r="G30" s="12"/>
      <c r="H30" s="3"/>
      <c r="I30" s="3"/>
      <c r="J30" s="3"/>
      <c r="K30" s="3"/>
      <c r="L30" s="3"/>
      <c r="M30" s="3"/>
      <c r="N30" s="3"/>
    </row>
    <row r="31" ht="23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23" customHeight="1">
      <c r="A32" s="3"/>
      <c r="B32" s="53" t="str">
        <v>Original column names</v>
      </c>
      <c r="C32" s="5"/>
      <c r="D32" s="5"/>
      <c r="E32" s="5"/>
      <c r="F32" s="5"/>
      <c r="G32" s="5"/>
      <c r="H32" s="3"/>
      <c r="I32" s="3"/>
      <c r="J32" s="3"/>
      <c r="K32" s="3"/>
      <c r="L32" s="3"/>
      <c r="M32" s="3"/>
      <c r="N32" s="3"/>
    </row>
    <row r="33" ht="57" customHeight="1">
      <c r="A33" s="3"/>
      <c r="B33" s="12" t="str">
        <v>release_year, datasets, contributor_groups, country_resolved_pct, linked_paper_pct, from_first_year_group_pct, dia_pct, thermo_single_vendor_pct, bruker_single_vendor_pct, standard_result_files_pct, identifiable_results_pct, human_pct</v>
      </c>
      <c r="C33" s="12"/>
      <c r="D33" s="12"/>
      <c r="E33" s="12"/>
      <c r="F33" s="12"/>
      <c r="G33" s="12"/>
      <c r="H33" s="3"/>
      <c r="I33" s="3"/>
      <c r="J33" s="3"/>
      <c r="K33" s="3"/>
      <c r="L33" s="3"/>
      <c r="M33" s="3"/>
      <c r="N33" s="3"/>
    </row>
    <row r="34" ht="23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23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23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23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23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23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23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23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23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23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23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23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</sheetData>
  <mergeCells>
    <mergeCell ref="B2:G2"/>
    <mergeCell ref="B3:G3"/>
    <mergeCell ref="B4:G4"/>
    <mergeCell ref="B23:G23"/>
    <mergeCell ref="B24:G24"/>
    <mergeCell ref="B26:G26"/>
    <mergeCell ref="B27:G27"/>
    <mergeCell ref="B29:G29"/>
    <mergeCell ref="B30:G30"/>
    <mergeCell ref="B32:G32"/>
    <mergeCell ref="B33:G33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8" orientation="landscape" scale="90" useFirstPageNumber="0"/>
  <headerFooter>
    <oddFooter>&amp;LPRIDE supplementary tables&amp;CS1&amp;RPage &amp;P of &amp;N</oddFooter>
  </headerFooter>
  <tableParts count="1">
    <tablePart ns1:id="Rc6e98756ec9648d6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2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</row>
    <row r="2" ht="23" customHeight="1">
      <c r="A2" s="3"/>
      <c r="B2" s="5" t="str">
        <v>SUPPLEMENTARY TABLE S2</v>
      </c>
      <c r="C2" s="5"/>
      <c r="D2" s="5"/>
      <c r="E2" s="5"/>
      <c r="F2" s="3"/>
      <c r="G2" s="3"/>
      <c r="H2" s="3"/>
      <c r="I2" s="3"/>
    </row>
    <row r="3" ht="30" customHeight="1">
      <c r="A3" s="3"/>
      <c r="B3" s="7" t="str">
        <v>Diversity through time</v>
      </c>
      <c r="C3" s="7"/>
      <c r="D3" s="7"/>
      <c r="E3" s="7"/>
      <c r="F3" s="3"/>
      <c r="G3" s="3"/>
      <c r="H3" s="3"/>
      <c r="I3" s="3"/>
    </row>
    <row r="4" ht="36" customHeight="1">
      <c r="A4" s="3"/>
      <c r="B4" s="12" t="str">
        <v>Order-2 effective numbers. Bounds are 95% intervals from resampling contributor groups.</v>
      </c>
      <c r="C4" s="12"/>
      <c r="D4" s="12"/>
      <c r="E4" s="12"/>
      <c r="F4" s="3"/>
      <c r="G4" s="3"/>
      <c r="H4" s="3"/>
      <c r="I4" s="3"/>
    </row>
    <row r="5" ht="23" customHeight="1">
      <c r="A5" s="3"/>
      <c r="B5" s="28"/>
      <c r="C5" s="28"/>
      <c r="D5" s="28"/>
      <c r="E5" s="28"/>
      <c r="F5" s="3"/>
      <c r="G5" s="3"/>
      <c r="H5" s="3"/>
      <c r="I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</row>
    <row r="7" ht="43" customHeight="1">
      <c r="A7" s="3"/>
      <c r="B7" s="35" t="str">
        <v>Axis</v>
      </c>
      <c r="C7" s="36" t="str">
        <v>Year</v>
      </c>
      <c r="D7" s="36" t="str">
        <v>Datasets</v>
      </c>
      <c r="E7" s="36" t="str">
        <v>Categories</v>
      </c>
      <c r="F7" s="36" t="str">
        <v>Effective number</v>
      </c>
      <c r="G7" s="36" t="str">
        <v>Lower 95% bound</v>
      </c>
      <c r="H7" s="37" t="str">
        <v>Upper 95% bound</v>
      </c>
      <c r="I7" s="3"/>
    </row>
    <row r="8" ht="27" customHeight="1">
      <c r="A8" s="3"/>
      <c r="B8" s="58" t="str">
        <v>Analysis tools</v>
      </c>
      <c r="C8" s="40" t="n">
        <v>2016</v>
      </c>
      <c r="D8" s="44" t="n">
        <v>1097</v>
      </c>
      <c r="E8" s="44" t="n">
        <v>19</v>
      </c>
      <c r="F8" s="62" t="n">
        <v>5.162</v>
      </c>
      <c r="G8" s="64" t="n">
        <v>4.577</v>
      </c>
      <c r="H8" s="64" t="n">
        <v>5.611</v>
      </c>
      <c r="I8" s="3"/>
    </row>
    <row r="9" ht="27" customHeight="1">
      <c r="A9" s="3"/>
      <c r="B9" s="59" t="str">
        <v>Analysis tools</v>
      </c>
      <c r="C9" s="41" t="n">
        <v>2017</v>
      </c>
      <c r="D9" s="45" t="n">
        <v>1213</v>
      </c>
      <c r="E9" s="45" t="n">
        <v>20</v>
      </c>
      <c r="F9" s="63" t="n">
        <v>4.705</v>
      </c>
      <c r="G9" s="65" t="n">
        <v>4.152</v>
      </c>
      <c r="H9" s="65" t="n">
        <v>5.323</v>
      </c>
      <c r="I9" s="3"/>
    </row>
    <row r="10" ht="27" customHeight="1">
      <c r="A10" s="3"/>
      <c r="B10" s="58" t="str">
        <v>Analysis tools</v>
      </c>
      <c r="C10" s="40" t="n">
        <v>2018</v>
      </c>
      <c r="D10" s="44" t="n">
        <v>2000</v>
      </c>
      <c r="E10" s="44" t="n">
        <v>21</v>
      </c>
      <c r="F10" s="62" t="n">
        <v>4.835</v>
      </c>
      <c r="G10" s="64" t="n">
        <v>4.416</v>
      </c>
      <c r="H10" s="64" t="n">
        <v>5.265</v>
      </c>
      <c r="I10" s="3"/>
    </row>
    <row r="11" ht="27" customHeight="1">
      <c r="A11" s="3"/>
      <c r="B11" s="59" t="str">
        <v>Analysis tools</v>
      </c>
      <c r="C11" s="41" t="n">
        <v>2019</v>
      </c>
      <c r="D11" s="45" t="n">
        <v>2329</v>
      </c>
      <c r="E11" s="45" t="n">
        <v>22</v>
      </c>
      <c r="F11" s="63" t="n">
        <v>4.854</v>
      </c>
      <c r="G11" s="65" t="n">
        <v>4.454</v>
      </c>
      <c r="H11" s="65" t="n">
        <v>5.293</v>
      </c>
      <c r="I11" s="3"/>
    </row>
    <row r="12" ht="27" customHeight="1">
      <c r="A12" s="3"/>
      <c r="B12" s="58" t="str">
        <v>Analysis tools</v>
      </c>
      <c r="C12" s="40" t="n">
        <v>2020</v>
      </c>
      <c r="D12" s="44" t="n">
        <v>2719</v>
      </c>
      <c r="E12" s="44" t="n">
        <v>22</v>
      </c>
      <c r="F12" s="62" t="n">
        <v>4.585</v>
      </c>
      <c r="G12" s="64" t="n">
        <v>4.216</v>
      </c>
      <c r="H12" s="64" t="n">
        <v>4.936</v>
      </c>
      <c r="I12" s="3"/>
    </row>
    <row r="13" ht="27" customHeight="1">
      <c r="A13" s="3"/>
      <c r="B13" s="59" t="str">
        <v>Analysis tools</v>
      </c>
      <c r="C13" s="41" t="n">
        <v>2021</v>
      </c>
      <c r="D13" s="45" t="n">
        <v>3652</v>
      </c>
      <c r="E13" s="45" t="n">
        <v>22</v>
      </c>
      <c r="F13" s="63" t="n">
        <v>4.379</v>
      </c>
      <c r="G13" s="65" t="n">
        <v>4.073</v>
      </c>
      <c r="H13" s="65" t="n">
        <v>4.736</v>
      </c>
      <c r="I13" s="3"/>
    </row>
    <row r="14" ht="27" customHeight="1">
      <c r="A14" s="3"/>
      <c r="B14" s="58" t="str">
        <v>Analysis tools</v>
      </c>
      <c r="C14" s="40" t="n">
        <v>2022</v>
      </c>
      <c r="D14" s="44" t="n">
        <v>4410</v>
      </c>
      <c r="E14" s="44" t="n">
        <v>22</v>
      </c>
      <c r="F14" s="62" t="n">
        <v>5.04</v>
      </c>
      <c r="G14" s="64" t="n">
        <v>4.729</v>
      </c>
      <c r="H14" s="64" t="n">
        <v>5.394</v>
      </c>
      <c r="I14" s="3"/>
    </row>
    <row r="15" ht="27" customHeight="1">
      <c r="A15" s="3"/>
      <c r="B15" s="59" t="str">
        <v>Analysis tools</v>
      </c>
      <c r="C15" s="41" t="n">
        <v>2023</v>
      </c>
      <c r="D15" s="45" t="n">
        <v>4129</v>
      </c>
      <c r="E15" s="45" t="n">
        <v>22</v>
      </c>
      <c r="F15" s="63" t="n">
        <v>4.886</v>
      </c>
      <c r="G15" s="65" t="n">
        <v>4.565</v>
      </c>
      <c r="H15" s="65" t="n">
        <v>5.215</v>
      </c>
      <c r="I15" s="3"/>
    </row>
    <row r="16" ht="27" customHeight="1">
      <c r="A16" s="3"/>
      <c r="B16" s="58" t="str">
        <v>Analysis tools</v>
      </c>
      <c r="C16" s="40" t="n">
        <v>2024</v>
      </c>
      <c r="D16" s="44" t="n">
        <v>4231</v>
      </c>
      <c r="E16" s="44" t="n">
        <v>22</v>
      </c>
      <c r="F16" s="62" t="n">
        <v>5.562</v>
      </c>
      <c r="G16" s="64" t="n">
        <v>5.141</v>
      </c>
      <c r="H16" s="64" t="n">
        <v>5.963</v>
      </c>
      <c r="I16" s="3"/>
    </row>
    <row r="17" ht="27" customHeight="1">
      <c r="A17" s="3"/>
      <c r="B17" s="59" t="str">
        <v>Analysis tools</v>
      </c>
      <c r="C17" s="41" t="n">
        <v>2025</v>
      </c>
      <c r="D17" s="45" t="n">
        <v>5413</v>
      </c>
      <c r="E17" s="45" t="n">
        <v>22</v>
      </c>
      <c r="F17" s="63" t="n">
        <v>7.096</v>
      </c>
      <c r="G17" s="65" t="n">
        <v>6.645</v>
      </c>
      <c r="H17" s="65" t="n">
        <v>7.562</v>
      </c>
      <c r="I17" s="3"/>
    </row>
    <row r="18" ht="27" customHeight="1">
      <c r="A18" s="3"/>
      <c r="B18" s="58" t="str">
        <v>Contributor groups</v>
      </c>
      <c r="C18" s="40" t="n">
        <v>2016</v>
      </c>
      <c r="D18" s="44" t="n">
        <v>1195</v>
      </c>
      <c r="E18" s="44" t="n">
        <v>739</v>
      </c>
      <c r="F18" s="62" t="n">
        <v>398.111</v>
      </c>
      <c r="G18" s="64"/>
      <c r="H18" s="64"/>
      <c r="I18" s="3"/>
    </row>
    <row r="19" ht="27" customHeight="1">
      <c r="A19" s="3"/>
      <c r="B19" s="59" t="str">
        <v>Contributor groups</v>
      </c>
      <c r="C19" s="41" t="n">
        <v>2017</v>
      </c>
      <c r="D19" s="45" t="n">
        <v>1310</v>
      </c>
      <c r="E19" s="45" t="n">
        <v>860</v>
      </c>
      <c r="F19" s="63" t="n">
        <v>441.384</v>
      </c>
      <c r="G19" s="65"/>
      <c r="H19" s="65"/>
      <c r="I19" s="3"/>
    </row>
    <row r="20" ht="27" customHeight="1">
      <c r="A20" s="3"/>
      <c r="B20" s="58" t="str">
        <v>Contributor groups</v>
      </c>
      <c r="C20" s="40" t="n">
        <v>2018</v>
      </c>
      <c r="D20" s="44" t="n">
        <v>2168</v>
      </c>
      <c r="E20" s="44" t="n">
        <v>1387</v>
      </c>
      <c r="F20" s="62" t="n">
        <v>754.45</v>
      </c>
      <c r="G20" s="64"/>
      <c r="H20" s="64"/>
      <c r="I20" s="3"/>
    </row>
    <row r="21" ht="27" customHeight="1">
      <c r="A21" s="3"/>
      <c r="B21" s="59" t="str">
        <v>Contributor groups</v>
      </c>
      <c r="C21" s="41" t="n">
        <v>2019</v>
      </c>
      <c r="D21" s="45" t="n">
        <v>2545</v>
      </c>
      <c r="E21" s="45" t="n">
        <v>1578</v>
      </c>
      <c r="F21" s="63" t="n">
        <v>810.337</v>
      </c>
      <c r="G21" s="65"/>
      <c r="H21" s="65"/>
      <c r="I21" s="3"/>
    </row>
    <row r="22" ht="27" customHeight="1">
      <c r="A22" s="3"/>
      <c r="B22" s="58" t="str">
        <v>Contributor groups</v>
      </c>
      <c r="C22" s="40" t="n">
        <v>2020</v>
      </c>
      <c r="D22" s="44" t="n">
        <v>2992</v>
      </c>
      <c r="E22" s="44" t="n">
        <v>1883</v>
      </c>
      <c r="F22" s="62" t="n">
        <v>998.223</v>
      </c>
      <c r="G22" s="64"/>
      <c r="H22" s="64"/>
      <c r="I22" s="3"/>
    </row>
    <row r="23" ht="27" customHeight="1">
      <c r="A23" s="3"/>
      <c r="B23" s="59" t="str">
        <v>Contributor groups</v>
      </c>
      <c r="C23" s="41" t="n">
        <v>2021</v>
      </c>
      <c r="D23" s="45" t="n">
        <v>3999</v>
      </c>
      <c r="E23" s="45" t="n">
        <v>2380</v>
      </c>
      <c r="F23" s="63" t="n">
        <v>1111.096</v>
      </c>
      <c r="G23" s="65"/>
      <c r="H23" s="65"/>
      <c r="I23" s="3"/>
    </row>
    <row r="24" ht="27" customHeight="1">
      <c r="A24" s="3"/>
      <c r="B24" s="58" t="str">
        <v>Contributor groups</v>
      </c>
      <c r="C24" s="40" t="n">
        <v>2022</v>
      </c>
      <c r="D24" s="44" t="n">
        <v>4944</v>
      </c>
      <c r="E24" s="44" t="n">
        <v>2970</v>
      </c>
      <c r="F24" s="62" t="n">
        <v>1112.063</v>
      </c>
      <c r="G24" s="64"/>
      <c r="H24" s="64"/>
      <c r="I24" s="3"/>
    </row>
    <row r="25" ht="27" customHeight="1">
      <c r="A25" s="3"/>
      <c r="B25" s="59" t="str">
        <v>Contributor groups</v>
      </c>
      <c r="C25" s="41" t="n">
        <v>2023</v>
      </c>
      <c r="D25" s="45" t="n">
        <v>4616</v>
      </c>
      <c r="E25" s="45" t="n">
        <v>2781</v>
      </c>
      <c r="F25" s="63" t="n">
        <v>1291.361</v>
      </c>
      <c r="G25" s="65"/>
      <c r="H25" s="65"/>
      <c r="I25" s="3"/>
    </row>
    <row r="26" ht="27" customHeight="1">
      <c r="A26" s="3"/>
      <c r="B26" s="58" t="str">
        <v>Contributor groups</v>
      </c>
      <c r="C26" s="40" t="n">
        <v>2024</v>
      </c>
      <c r="D26" s="44" t="n">
        <v>4718</v>
      </c>
      <c r="E26" s="44" t="n">
        <v>2863</v>
      </c>
      <c r="F26" s="62" t="n">
        <v>1348.572</v>
      </c>
      <c r="G26" s="64"/>
      <c r="H26" s="64"/>
      <c r="I26" s="3"/>
    </row>
    <row r="27" ht="27" customHeight="1">
      <c r="A27" s="3"/>
      <c r="B27" s="59" t="str">
        <v>Contributor groups</v>
      </c>
      <c r="C27" s="41" t="n">
        <v>2025</v>
      </c>
      <c r="D27" s="45" t="n">
        <v>6231</v>
      </c>
      <c r="E27" s="45" t="n">
        <v>3611</v>
      </c>
      <c r="F27" s="63" t="n">
        <v>1565.349</v>
      </c>
      <c r="G27" s="65"/>
      <c r="H27" s="65"/>
      <c r="I27" s="3"/>
    </row>
    <row r="28" ht="27" customHeight="1">
      <c r="A28" s="3"/>
      <c r="B28" s="58" t="str">
        <v>Countries</v>
      </c>
      <c r="C28" s="40" t="n">
        <v>2016</v>
      </c>
      <c r="D28" s="44" t="n">
        <v>925</v>
      </c>
      <c r="E28" s="44" t="n">
        <v>39</v>
      </c>
      <c r="F28" s="62" t="n">
        <v>11.326</v>
      </c>
      <c r="G28" s="64" t="n">
        <v>9.352</v>
      </c>
      <c r="H28" s="64" t="n">
        <v>12.971</v>
      </c>
      <c r="I28" s="3"/>
    </row>
    <row r="29" ht="27" customHeight="1">
      <c r="A29" s="3"/>
      <c r="B29" s="59" t="str">
        <v>Countries</v>
      </c>
      <c r="C29" s="41" t="n">
        <v>2017</v>
      </c>
      <c r="D29" s="45" t="n">
        <v>1037</v>
      </c>
      <c r="E29" s="45" t="n">
        <v>42</v>
      </c>
      <c r="F29" s="63" t="n">
        <v>10.821</v>
      </c>
      <c r="G29" s="65" t="n">
        <v>8.786</v>
      </c>
      <c r="H29" s="65" t="n">
        <v>12.643</v>
      </c>
      <c r="I29" s="3"/>
    </row>
    <row r="30" ht="27" customHeight="1">
      <c r="A30" s="3"/>
      <c r="B30" s="58" t="str">
        <v>Countries</v>
      </c>
      <c r="C30" s="40" t="n">
        <v>2018</v>
      </c>
      <c r="D30" s="44" t="n">
        <v>1670</v>
      </c>
      <c r="E30" s="44" t="n">
        <v>44</v>
      </c>
      <c r="F30" s="62" t="n">
        <v>10.879</v>
      </c>
      <c r="G30" s="64" t="n">
        <v>9.518</v>
      </c>
      <c r="H30" s="64" t="n">
        <v>12.006</v>
      </c>
      <c r="I30" s="3"/>
    </row>
    <row r="31" ht="27" customHeight="1">
      <c r="A31" s="3"/>
      <c r="B31" s="59" t="str">
        <v>Countries</v>
      </c>
      <c r="C31" s="41" t="n">
        <v>2019</v>
      </c>
      <c r="D31" s="45" t="n">
        <v>2005</v>
      </c>
      <c r="E31" s="45" t="n">
        <v>49</v>
      </c>
      <c r="F31" s="63" t="n">
        <v>10.97</v>
      </c>
      <c r="G31" s="65" t="n">
        <v>9.47</v>
      </c>
      <c r="H31" s="65" t="n">
        <v>12.2</v>
      </c>
      <c r="I31" s="3"/>
    </row>
    <row r="32" ht="27" customHeight="1">
      <c r="A32" s="3"/>
      <c r="B32" s="58" t="str">
        <v>Countries</v>
      </c>
      <c r="C32" s="40" t="n">
        <v>2020</v>
      </c>
      <c r="D32" s="44" t="n">
        <v>2315</v>
      </c>
      <c r="E32" s="44" t="n">
        <v>56</v>
      </c>
      <c r="F32" s="62" t="n">
        <v>10.241</v>
      </c>
      <c r="G32" s="64" t="n">
        <v>9.205</v>
      </c>
      <c r="H32" s="64" t="n">
        <v>11.358</v>
      </c>
      <c r="I32" s="3"/>
    </row>
    <row r="33" ht="27" customHeight="1">
      <c r="A33" s="3"/>
      <c r="B33" s="59" t="str">
        <v>Countries</v>
      </c>
      <c r="C33" s="41" t="n">
        <v>2021</v>
      </c>
      <c r="D33" s="45" t="n">
        <v>3148</v>
      </c>
      <c r="E33" s="45" t="n">
        <v>60</v>
      </c>
      <c r="F33" s="63" t="n">
        <v>11.436</v>
      </c>
      <c r="G33" s="65" t="n">
        <v>10.288</v>
      </c>
      <c r="H33" s="65" t="n">
        <v>12.565</v>
      </c>
      <c r="I33" s="3"/>
    </row>
    <row r="34" ht="27" customHeight="1">
      <c r="A34" s="3"/>
      <c r="B34" s="58" t="str">
        <v>Countries</v>
      </c>
      <c r="C34" s="40" t="n">
        <v>2022</v>
      </c>
      <c r="D34" s="44" t="n">
        <v>3849</v>
      </c>
      <c r="E34" s="44" t="n">
        <v>61</v>
      </c>
      <c r="F34" s="62" t="n">
        <v>10.171</v>
      </c>
      <c r="G34" s="64" t="n">
        <v>9.026</v>
      </c>
      <c r="H34" s="64" t="n">
        <v>10.977</v>
      </c>
      <c r="I34" s="3"/>
    </row>
    <row r="35" ht="27" customHeight="1">
      <c r="A35" s="3"/>
      <c r="B35" s="59" t="str">
        <v>Countries</v>
      </c>
      <c r="C35" s="41" t="n">
        <v>2023</v>
      </c>
      <c r="D35" s="45" t="n">
        <v>3572</v>
      </c>
      <c r="E35" s="45" t="n">
        <v>59</v>
      </c>
      <c r="F35" s="63" t="n">
        <v>11.951</v>
      </c>
      <c r="G35" s="65" t="n">
        <v>10.86</v>
      </c>
      <c r="H35" s="65" t="n">
        <v>12.94</v>
      </c>
      <c r="I35" s="3"/>
    </row>
    <row r="36" ht="27" customHeight="1">
      <c r="A36" s="3"/>
      <c r="B36" s="58" t="str">
        <v>Countries</v>
      </c>
      <c r="C36" s="40" t="n">
        <v>2024</v>
      </c>
      <c r="D36" s="44" t="n">
        <v>3711</v>
      </c>
      <c r="E36" s="44" t="n">
        <v>55</v>
      </c>
      <c r="F36" s="62" t="n">
        <v>11.441</v>
      </c>
      <c r="G36" s="64" t="n">
        <v>10.248</v>
      </c>
      <c r="H36" s="64" t="n">
        <v>12.606</v>
      </c>
      <c r="I36" s="3"/>
    </row>
    <row r="37" ht="27" customHeight="1">
      <c r="A37" s="3"/>
      <c r="B37" s="59" t="str">
        <v>Countries</v>
      </c>
      <c r="C37" s="41" t="n">
        <v>2025</v>
      </c>
      <c r="D37" s="45" t="n">
        <v>4802</v>
      </c>
      <c r="E37" s="45" t="n">
        <v>57</v>
      </c>
      <c r="F37" s="63" t="n">
        <v>10.394</v>
      </c>
      <c r="G37" s="65" t="n">
        <v>9.404</v>
      </c>
      <c r="H37" s="65" t="n">
        <v>11.218</v>
      </c>
      <c r="I37" s="3"/>
    </row>
    <row r="38" ht="27" customHeight="1">
      <c r="A38" s="3"/>
      <c r="B38" s="58" t="str">
        <v>Instrument models</v>
      </c>
      <c r="C38" s="40" t="n">
        <v>2016</v>
      </c>
      <c r="D38" s="44" t="n">
        <v>1184</v>
      </c>
      <c r="E38" s="44" t="n">
        <v>50</v>
      </c>
      <c r="F38" s="62" t="n">
        <v>6.079</v>
      </c>
      <c r="G38" s="64" t="n">
        <v>5.413</v>
      </c>
      <c r="H38" s="64" t="n">
        <v>6.706</v>
      </c>
      <c r="I38" s="3"/>
    </row>
    <row r="39" ht="27" customHeight="1">
      <c r="A39" s="3"/>
      <c r="B39" s="59" t="str">
        <v>Instrument models</v>
      </c>
      <c r="C39" s="41" t="n">
        <v>2017</v>
      </c>
      <c r="D39" s="45" t="n">
        <v>1293</v>
      </c>
      <c r="E39" s="45" t="n">
        <v>54</v>
      </c>
      <c r="F39" s="63" t="n">
        <v>5.262</v>
      </c>
      <c r="G39" s="65" t="n">
        <v>4.642</v>
      </c>
      <c r="H39" s="65" t="n">
        <v>5.862</v>
      </c>
      <c r="I39" s="3"/>
    </row>
    <row r="40" ht="27" customHeight="1">
      <c r="A40" s="3"/>
      <c r="B40" s="58" t="str">
        <v>Instrument models</v>
      </c>
      <c r="C40" s="40" t="n">
        <v>2018</v>
      </c>
      <c r="D40" s="44" t="n">
        <v>2147</v>
      </c>
      <c r="E40" s="44" t="n">
        <v>57</v>
      </c>
      <c r="F40" s="62" t="n">
        <v>5.328</v>
      </c>
      <c r="G40" s="64" t="n">
        <v>4.834</v>
      </c>
      <c r="H40" s="64" t="n">
        <v>5.875</v>
      </c>
      <c r="I40" s="3"/>
    </row>
    <row r="41" ht="27" customHeight="1">
      <c r="A41" s="3"/>
      <c r="B41" s="59" t="str">
        <v>Instrument models</v>
      </c>
      <c r="C41" s="41" t="n">
        <v>2019</v>
      </c>
      <c r="D41" s="45" t="n">
        <v>2527</v>
      </c>
      <c r="E41" s="45" t="n">
        <v>65</v>
      </c>
      <c r="F41" s="63" t="n">
        <v>5.687</v>
      </c>
      <c r="G41" s="65" t="n">
        <v>5.108</v>
      </c>
      <c r="H41" s="65" t="n">
        <v>6.258</v>
      </c>
      <c r="I41" s="3"/>
    </row>
    <row r="42" ht="27" customHeight="1">
      <c r="A42" s="3"/>
      <c r="B42" s="58" t="str">
        <v>Instrument models</v>
      </c>
      <c r="C42" s="40" t="n">
        <v>2020</v>
      </c>
      <c r="D42" s="44" t="n">
        <v>2967</v>
      </c>
      <c r="E42" s="44" t="n">
        <v>70</v>
      </c>
      <c r="F42" s="62" t="n">
        <v>6.809</v>
      </c>
      <c r="G42" s="64" t="n">
        <v>6.182</v>
      </c>
      <c r="H42" s="64" t="n">
        <v>7.363</v>
      </c>
      <c r="I42" s="3"/>
    </row>
    <row r="43" ht="27" customHeight="1">
      <c r="A43" s="3"/>
      <c r="B43" s="59" t="str">
        <v>Instrument models</v>
      </c>
      <c r="C43" s="41" t="n">
        <v>2021</v>
      </c>
      <c r="D43" s="45" t="n">
        <v>3963</v>
      </c>
      <c r="E43" s="45" t="n">
        <v>73</v>
      </c>
      <c r="F43" s="63" t="n">
        <v>8.218</v>
      </c>
      <c r="G43" s="65" t="n">
        <v>7.818</v>
      </c>
      <c r="H43" s="65" t="n">
        <v>8.625</v>
      </c>
      <c r="I43" s="3"/>
    </row>
    <row r="44" ht="27" customHeight="1">
      <c r="A44" s="3"/>
      <c r="B44" s="58" t="str">
        <v>Instrument models</v>
      </c>
      <c r="C44" s="40" t="n">
        <v>2022</v>
      </c>
      <c r="D44" s="44" t="n">
        <v>4882</v>
      </c>
      <c r="E44" s="44" t="n">
        <v>81</v>
      </c>
      <c r="F44" s="62" t="n">
        <v>9.041</v>
      </c>
      <c r="G44" s="64" t="n">
        <v>8.529</v>
      </c>
      <c r="H44" s="64" t="n">
        <v>9.485</v>
      </c>
      <c r="I44" s="3"/>
    </row>
    <row r="45" ht="27" customHeight="1">
      <c r="A45" s="3"/>
      <c r="B45" s="59" t="str">
        <v>Instrument models</v>
      </c>
      <c r="C45" s="41" t="n">
        <v>2023</v>
      </c>
      <c r="D45" s="45" t="n">
        <v>4554</v>
      </c>
      <c r="E45" s="45" t="n">
        <v>83</v>
      </c>
      <c r="F45" s="63" t="n">
        <v>9.498</v>
      </c>
      <c r="G45" s="65" t="n">
        <v>9.008</v>
      </c>
      <c r="H45" s="65" t="n">
        <v>9.976</v>
      </c>
      <c r="I45" s="3"/>
    </row>
    <row r="46" ht="27" customHeight="1">
      <c r="A46" s="3"/>
      <c r="B46" s="58" t="str">
        <v>Instrument models</v>
      </c>
      <c r="C46" s="40" t="n">
        <v>2024</v>
      </c>
      <c r="D46" s="44" t="n">
        <v>4642</v>
      </c>
      <c r="E46" s="44" t="n">
        <v>81</v>
      </c>
      <c r="F46" s="62" t="n">
        <v>10.222</v>
      </c>
      <c r="G46" s="64" t="n">
        <v>9.692</v>
      </c>
      <c r="H46" s="64" t="n">
        <v>10.681</v>
      </c>
      <c r="I46" s="3"/>
    </row>
    <row r="47" ht="27" customHeight="1">
      <c r="A47" s="3"/>
      <c r="B47" s="59" t="str">
        <v>Instrument models</v>
      </c>
      <c r="C47" s="41" t="n">
        <v>2025</v>
      </c>
      <c r="D47" s="45" t="n">
        <v>6111</v>
      </c>
      <c r="E47" s="45" t="n">
        <v>92</v>
      </c>
      <c r="F47" s="63" t="n">
        <v>12.135</v>
      </c>
      <c r="G47" s="65" t="n">
        <v>11.561</v>
      </c>
      <c r="H47" s="65" t="n">
        <v>12.783</v>
      </c>
      <c r="I47" s="3"/>
    </row>
    <row r="48" ht="27" customHeight="1">
      <c r="A48" s="3"/>
      <c r="B48" s="58" t="str">
        <v>Instrument vendors</v>
      </c>
      <c r="C48" s="40" t="n">
        <v>2016</v>
      </c>
      <c r="D48" s="44" t="n">
        <v>1184</v>
      </c>
      <c r="E48" s="44" t="n">
        <v>7</v>
      </c>
      <c r="F48" s="62" t="n">
        <v>1.369</v>
      </c>
      <c r="G48" s="64" t="n">
        <v>1.298</v>
      </c>
      <c r="H48" s="64" t="n">
        <v>1.461</v>
      </c>
      <c r="I48" s="3"/>
    </row>
    <row r="49" ht="27" customHeight="1">
      <c r="A49" s="3"/>
      <c r="B49" s="59" t="str">
        <v>Instrument vendors</v>
      </c>
      <c r="C49" s="41" t="n">
        <v>2017</v>
      </c>
      <c r="D49" s="45" t="n">
        <v>1293</v>
      </c>
      <c r="E49" s="45" t="n">
        <v>7</v>
      </c>
      <c r="F49" s="63" t="n">
        <v>1.309</v>
      </c>
      <c r="G49" s="65" t="n">
        <v>1.24</v>
      </c>
      <c r="H49" s="65" t="n">
        <v>1.377</v>
      </c>
      <c r="I49" s="3"/>
    </row>
    <row r="50" ht="27" customHeight="1">
      <c r="A50" s="3"/>
      <c r="B50" s="58" t="str">
        <v>Instrument vendors</v>
      </c>
      <c r="C50" s="40" t="n">
        <v>2018</v>
      </c>
      <c r="D50" s="44" t="n">
        <v>2147</v>
      </c>
      <c r="E50" s="44" t="n">
        <v>6</v>
      </c>
      <c r="F50" s="62" t="n">
        <v>1.326</v>
      </c>
      <c r="G50" s="64" t="n">
        <v>1.28</v>
      </c>
      <c r="H50" s="64" t="n">
        <v>1.385</v>
      </c>
      <c r="I50" s="3"/>
    </row>
    <row r="51" ht="27" customHeight="1">
      <c r="A51" s="3"/>
      <c r="B51" s="59" t="str">
        <v>Instrument vendors</v>
      </c>
      <c r="C51" s="41" t="n">
        <v>2019</v>
      </c>
      <c r="D51" s="45" t="n">
        <v>2527</v>
      </c>
      <c r="E51" s="45" t="n">
        <v>7</v>
      </c>
      <c r="F51" s="63" t="n">
        <v>1.334</v>
      </c>
      <c r="G51" s="65" t="n">
        <v>1.276</v>
      </c>
      <c r="H51" s="65" t="n">
        <v>1.402</v>
      </c>
      <c r="I51" s="3"/>
    </row>
    <row r="52" ht="27" customHeight="1">
      <c r="A52" s="3"/>
      <c r="B52" s="58" t="str">
        <v>Instrument vendors</v>
      </c>
      <c r="C52" s="40" t="n">
        <v>2020</v>
      </c>
      <c r="D52" s="44" t="n">
        <v>2967</v>
      </c>
      <c r="E52" s="44" t="n">
        <v>7</v>
      </c>
      <c r="F52" s="62" t="n">
        <v>1.307</v>
      </c>
      <c r="G52" s="64" t="n">
        <v>1.265</v>
      </c>
      <c r="H52" s="64" t="n">
        <v>1.36</v>
      </c>
      <c r="I52" s="3"/>
    </row>
    <row r="53" ht="27" customHeight="1">
      <c r="A53" s="3"/>
      <c r="B53" s="59" t="str">
        <v>Instrument vendors</v>
      </c>
      <c r="C53" s="41" t="n">
        <v>2021</v>
      </c>
      <c r="D53" s="45" t="n">
        <v>3963</v>
      </c>
      <c r="E53" s="45" t="n">
        <v>8</v>
      </c>
      <c r="F53" s="63" t="n">
        <v>1.266</v>
      </c>
      <c r="G53" s="65" t="n">
        <v>1.231</v>
      </c>
      <c r="H53" s="65" t="n">
        <v>1.305</v>
      </c>
      <c r="I53" s="3"/>
    </row>
    <row r="54" ht="27" customHeight="1">
      <c r="A54" s="3"/>
      <c r="B54" s="58" t="str">
        <v>Instrument vendors</v>
      </c>
      <c r="C54" s="40" t="n">
        <v>2022</v>
      </c>
      <c r="D54" s="44" t="n">
        <v>4882</v>
      </c>
      <c r="E54" s="44" t="n">
        <v>7</v>
      </c>
      <c r="F54" s="62" t="n">
        <v>1.318</v>
      </c>
      <c r="G54" s="64" t="n">
        <v>1.279</v>
      </c>
      <c r="H54" s="64" t="n">
        <v>1.36</v>
      </c>
      <c r="I54" s="3"/>
    </row>
    <row r="55" ht="27" customHeight="1">
      <c r="A55" s="3"/>
      <c r="B55" s="59" t="str">
        <v>Instrument vendors</v>
      </c>
      <c r="C55" s="41" t="n">
        <v>2023</v>
      </c>
      <c r="D55" s="45" t="n">
        <v>4554</v>
      </c>
      <c r="E55" s="45" t="n">
        <v>7</v>
      </c>
      <c r="F55" s="63" t="n">
        <v>1.32</v>
      </c>
      <c r="G55" s="65" t="n">
        <v>1.278</v>
      </c>
      <c r="H55" s="65" t="n">
        <v>1.37</v>
      </c>
      <c r="I55" s="3"/>
    </row>
    <row r="56" ht="27" customHeight="1">
      <c r="A56" s="3"/>
      <c r="B56" s="58" t="str">
        <v>Instrument vendors</v>
      </c>
      <c r="C56" s="40" t="n">
        <v>2024</v>
      </c>
      <c r="D56" s="44" t="n">
        <v>4642</v>
      </c>
      <c r="E56" s="44" t="n">
        <v>7</v>
      </c>
      <c r="F56" s="62" t="n">
        <v>1.351</v>
      </c>
      <c r="G56" s="64" t="n">
        <v>1.309</v>
      </c>
      <c r="H56" s="64" t="n">
        <v>1.391</v>
      </c>
      <c r="I56" s="3"/>
    </row>
    <row r="57" ht="27" customHeight="1">
      <c r="A57" s="3"/>
      <c r="B57" s="59" t="str">
        <v>Instrument vendors</v>
      </c>
      <c r="C57" s="41" t="n">
        <v>2025</v>
      </c>
      <c r="D57" s="45" t="n">
        <v>6111</v>
      </c>
      <c r="E57" s="45" t="n">
        <v>8</v>
      </c>
      <c r="F57" s="63" t="n">
        <v>1.511</v>
      </c>
      <c r="G57" s="65" t="n">
        <v>1.459</v>
      </c>
      <c r="H57" s="65" t="n">
        <v>1.567</v>
      </c>
      <c r="I57" s="3"/>
    </row>
    <row r="58" ht="27" customHeight="1">
      <c r="A58" s="3"/>
      <c r="B58" s="58" t="str">
        <v>Journals</v>
      </c>
      <c r="C58" s="40" t="n">
        <v>2016</v>
      </c>
      <c r="D58" s="44" t="n">
        <v>1090</v>
      </c>
      <c r="E58" s="44" t="n">
        <v>201</v>
      </c>
      <c r="F58" s="62" t="n">
        <v>21.344</v>
      </c>
      <c r="G58" s="64" t="n">
        <v>17.234</v>
      </c>
      <c r="H58" s="64" t="n">
        <v>24.35</v>
      </c>
      <c r="I58" s="3"/>
    </row>
    <row r="59" ht="27" customHeight="1">
      <c r="A59" s="3"/>
      <c r="B59" s="59" t="str">
        <v>Journals</v>
      </c>
      <c r="C59" s="41" t="n">
        <v>2017</v>
      </c>
      <c r="D59" s="45" t="n">
        <v>1215</v>
      </c>
      <c r="E59" s="45" t="n">
        <v>251</v>
      </c>
      <c r="F59" s="63" t="n">
        <v>28.422</v>
      </c>
      <c r="G59" s="65" t="n">
        <v>24.203</v>
      </c>
      <c r="H59" s="65" t="n">
        <v>31.207</v>
      </c>
      <c r="I59" s="3"/>
    </row>
    <row r="60" ht="27" customHeight="1">
      <c r="A60" s="3"/>
      <c r="B60" s="58" t="str">
        <v>Journals</v>
      </c>
      <c r="C60" s="40" t="n">
        <v>2018</v>
      </c>
      <c r="D60" s="44" t="n">
        <v>1935</v>
      </c>
      <c r="E60" s="44" t="n">
        <v>357</v>
      </c>
      <c r="F60" s="62" t="n">
        <v>34.459</v>
      </c>
      <c r="G60" s="64" t="n">
        <v>30.279</v>
      </c>
      <c r="H60" s="64" t="n">
        <v>37.556</v>
      </c>
      <c r="I60" s="3"/>
    </row>
    <row r="61" ht="27" customHeight="1">
      <c r="A61" s="3"/>
      <c r="B61" s="59" t="str">
        <v>Journals</v>
      </c>
      <c r="C61" s="41" t="n">
        <v>2019</v>
      </c>
      <c r="D61" s="45" t="n">
        <v>2175</v>
      </c>
      <c r="E61" s="45" t="n">
        <v>397</v>
      </c>
      <c r="F61" s="63" t="n">
        <v>39.841</v>
      </c>
      <c r="G61" s="65" t="n">
        <v>34.52</v>
      </c>
      <c r="H61" s="65" t="n">
        <v>44.56</v>
      </c>
      <c r="I61" s="3"/>
    </row>
    <row r="62" ht="27" customHeight="1">
      <c r="A62" s="3"/>
      <c r="B62" s="58" t="str">
        <v>Journals</v>
      </c>
      <c r="C62" s="40" t="n">
        <v>2020</v>
      </c>
      <c r="D62" s="44" t="n">
        <v>2271</v>
      </c>
      <c r="E62" s="44" t="n">
        <v>389</v>
      </c>
      <c r="F62" s="62" t="n">
        <v>39.933</v>
      </c>
      <c r="G62" s="64" t="n">
        <v>34.321</v>
      </c>
      <c r="H62" s="64" t="n">
        <v>44.214</v>
      </c>
      <c r="I62" s="3"/>
    </row>
    <row r="63" ht="27" customHeight="1">
      <c r="A63" s="3"/>
      <c r="B63" s="59" t="str">
        <v>Journals</v>
      </c>
      <c r="C63" s="41" t="n">
        <v>2021</v>
      </c>
      <c r="D63" s="45" t="n">
        <v>2416</v>
      </c>
      <c r="E63" s="45" t="n">
        <v>457</v>
      </c>
      <c r="F63" s="63" t="n">
        <v>52.96</v>
      </c>
      <c r="G63" s="65" t="n">
        <v>43.886</v>
      </c>
      <c r="H63" s="65" t="n">
        <v>58.907</v>
      </c>
      <c r="I63" s="3"/>
    </row>
    <row r="64" ht="27" customHeight="1">
      <c r="A64" s="3"/>
      <c r="B64" s="58" t="str">
        <v>Journals</v>
      </c>
      <c r="C64" s="40" t="n">
        <v>2022</v>
      </c>
      <c r="D64" s="44" t="n">
        <v>3563</v>
      </c>
      <c r="E64" s="44" t="n">
        <v>572</v>
      </c>
      <c r="F64" s="62" t="n">
        <v>70.526</v>
      </c>
      <c r="G64" s="64" t="n">
        <v>60.108</v>
      </c>
      <c r="H64" s="64" t="n">
        <v>75.73</v>
      </c>
      <c r="I64" s="3"/>
    </row>
    <row r="65" ht="27" customHeight="1">
      <c r="A65" s="3"/>
      <c r="B65" s="59" t="str">
        <v>Journals</v>
      </c>
      <c r="C65" s="41" t="n">
        <v>2023</v>
      </c>
      <c r="D65" s="45" t="n">
        <v>3300</v>
      </c>
      <c r="E65" s="45" t="n">
        <v>571</v>
      </c>
      <c r="F65" s="63" t="n">
        <v>58.711</v>
      </c>
      <c r="G65" s="65" t="n">
        <v>49.116</v>
      </c>
      <c r="H65" s="65" t="n">
        <v>64.828</v>
      </c>
      <c r="I65" s="3"/>
    </row>
    <row r="66" ht="27" customHeight="1">
      <c r="A66" s="3"/>
      <c r="B66" s="58" t="str">
        <v>Journals</v>
      </c>
      <c r="C66" s="40" t="n">
        <v>2024</v>
      </c>
      <c r="D66" s="44" t="n">
        <v>3004</v>
      </c>
      <c r="E66" s="44" t="n">
        <v>581</v>
      </c>
      <c r="F66" s="62" t="n">
        <v>74.282</v>
      </c>
      <c r="G66" s="64" t="n">
        <v>64.6</v>
      </c>
      <c r="H66" s="64" t="n">
        <v>80.076</v>
      </c>
      <c r="I66" s="3"/>
    </row>
    <row r="67" ht="27" customHeight="1">
      <c r="A67" s="3"/>
      <c r="B67" s="59" t="str">
        <v>Journals</v>
      </c>
      <c r="C67" s="41" t="n">
        <v>2025</v>
      </c>
      <c r="D67" s="45" t="n">
        <v>3992</v>
      </c>
      <c r="E67" s="45" t="n">
        <v>747</v>
      </c>
      <c r="F67" s="63" t="n">
        <v>69.153</v>
      </c>
      <c r="G67" s="65" t="n">
        <v>60.269</v>
      </c>
      <c r="H67" s="65" t="n">
        <v>75.727</v>
      </c>
      <c r="I67" s="3"/>
    </row>
    <row r="68" ht="27" customHeight="1">
      <c r="A68" s="3"/>
      <c r="B68" s="58" t="str">
        <v>Research subfields</v>
      </c>
      <c r="C68" s="40" t="n">
        <v>2016</v>
      </c>
      <c r="D68" s="44" t="n">
        <v>1093</v>
      </c>
      <c r="E68" s="44" t="n">
        <v>75</v>
      </c>
      <c r="F68" s="62" t="n">
        <v>8.251</v>
      </c>
      <c r="G68" s="64" t="n">
        <v>7.08</v>
      </c>
      <c r="H68" s="64" t="n">
        <v>9.535</v>
      </c>
      <c r="I68" s="3"/>
    </row>
    <row r="69" ht="27" customHeight="1">
      <c r="A69" s="3"/>
      <c r="B69" s="59" t="str">
        <v>Research subfields</v>
      </c>
      <c r="C69" s="41" t="n">
        <v>2017</v>
      </c>
      <c r="D69" s="45" t="n">
        <v>1221</v>
      </c>
      <c r="E69" s="45" t="n">
        <v>77</v>
      </c>
      <c r="F69" s="63" t="n">
        <v>9.34</v>
      </c>
      <c r="G69" s="65" t="n">
        <v>7.936</v>
      </c>
      <c r="H69" s="65" t="n">
        <v>10.909</v>
      </c>
      <c r="I69" s="3"/>
    </row>
    <row r="70" ht="27" customHeight="1">
      <c r="A70" s="3"/>
      <c r="B70" s="58" t="str">
        <v>Research subfields</v>
      </c>
      <c r="C70" s="40" t="n">
        <v>2018</v>
      </c>
      <c r="D70" s="44" t="n">
        <v>1948</v>
      </c>
      <c r="E70" s="44" t="n">
        <v>86</v>
      </c>
      <c r="F70" s="62" t="n">
        <v>7.786</v>
      </c>
      <c r="G70" s="64" t="n">
        <v>6.823</v>
      </c>
      <c r="H70" s="64" t="n">
        <v>8.724</v>
      </c>
      <c r="I70" s="3"/>
    </row>
    <row r="71" ht="27" customHeight="1">
      <c r="A71" s="3"/>
      <c r="B71" s="59" t="str">
        <v>Research subfields</v>
      </c>
      <c r="C71" s="41" t="n">
        <v>2019</v>
      </c>
      <c r="D71" s="45" t="n">
        <v>2220</v>
      </c>
      <c r="E71" s="45" t="n">
        <v>90</v>
      </c>
      <c r="F71" s="63" t="n">
        <v>7.419</v>
      </c>
      <c r="G71" s="65" t="n">
        <v>6.574</v>
      </c>
      <c r="H71" s="65" t="n">
        <v>8.417</v>
      </c>
      <c r="I71" s="3"/>
    </row>
    <row r="72" ht="27" customHeight="1">
      <c r="A72" s="3"/>
      <c r="B72" s="58" t="str">
        <v>Research subfields</v>
      </c>
      <c r="C72" s="40" t="n">
        <v>2020</v>
      </c>
      <c r="D72" s="44" t="n">
        <v>2286</v>
      </c>
      <c r="E72" s="44" t="n">
        <v>86</v>
      </c>
      <c r="F72" s="62" t="n">
        <v>7.927</v>
      </c>
      <c r="G72" s="64" t="n">
        <v>7.105</v>
      </c>
      <c r="H72" s="64" t="n">
        <v>8.795</v>
      </c>
      <c r="I72" s="3"/>
    </row>
    <row r="73" ht="27" customHeight="1">
      <c r="A73" s="3"/>
      <c r="B73" s="59" t="str">
        <v>Research subfields</v>
      </c>
      <c r="C73" s="41" t="n">
        <v>2021</v>
      </c>
      <c r="D73" s="45" t="n">
        <v>2422</v>
      </c>
      <c r="E73" s="45" t="n">
        <v>92</v>
      </c>
      <c r="F73" s="63" t="n">
        <v>7.254</v>
      </c>
      <c r="G73" s="65" t="n">
        <v>6.271</v>
      </c>
      <c r="H73" s="65" t="n">
        <v>8.145</v>
      </c>
      <c r="I73" s="3"/>
    </row>
    <row r="74" ht="27" customHeight="1">
      <c r="A74" s="3"/>
      <c r="B74" s="58" t="str">
        <v>Research subfields</v>
      </c>
      <c r="C74" s="40" t="n">
        <v>2022</v>
      </c>
      <c r="D74" s="44" t="n">
        <v>3598</v>
      </c>
      <c r="E74" s="44" t="n">
        <v>97</v>
      </c>
      <c r="F74" s="62" t="n">
        <v>8.525</v>
      </c>
      <c r="G74" s="64" t="n">
        <v>7.664</v>
      </c>
      <c r="H74" s="64" t="n">
        <v>9.439</v>
      </c>
      <c r="I74" s="3"/>
    </row>
    <row r="75" ht="27" customHeight="1">
      <c r="A75" s="3"/>
      <c r="B75" s="59" t="str">
        <v>Research subfields</v>
      </c>
      <c r="C75" s="41" t="n">
        <v>2023</v>
      </c>
      <c r="D75" s="45" t="n">
        <v>3386</v>
      </c>
      <c r="E75" s="45" t="n">
        <v>98</v>
      </c>
      <c r="F75" s="63" t="n">
        <v>6.968</v>
      </c>
      <c r="G75" s="65" t="n">
        <v>6.322</v>
      </c>
      <c r="H75" s="65" t="n">
        <v>7.636</v>
      </c>
      <c r="I75" s="3"/>
    </row>
    <row r="76" ht="27" customHeight="1">
      <c r="A76" s="3"/>
      <c r="B76" s="58" t="str">
        <v>Research subfields</v>
      </c>
      <c r="C76" s="40" t="n">
        <v>2024</v>
      </c>
      <c r="D76" s="44" t="n">
        <v>3236</v>
      </c>
      <c r="E76" s="44" t="n">
        <v>98</v>
      </c>
      <c r="F76" s="62" t="n">
        <v>7.373</v>
      </c>
      <c r="G76" s="64" t="n">
        <v>6.579</v>
      </c>
      <c r="H76" s="64" t="n">
        <v>8.199</v>
      </c>
      <c r="I76" s="3"/>
    </row>
    <row r="77" ht="27" customHeight="1">
      <c r="A77" s="3"/>
      <c r="B77" s="59" t="str">
        <v>Research subfields</v>
      </c>
      <c r="C77" s="41" t="n">
        <v>2025</v>
      </c>
      <c r="D77" s="45" t="n">
        <v>4185</v>
      </c>
      <c r="E77" s="45" t="n">
        <v>105</v>
      </c>
      <c r="F77" s="63" t="n">
        <v>8.382</v>
      </c>
      <c r="G77" s="65" t="n">
        <v>7.695</v>
      </c>
      <c r="H77" s="65" t="n">
        <v>9.174</v>
      </c>
      <c r="I77" s="3"/>
    </row>
    <row r="78" ht="27" customHeight="1">
      <c r="A78" s="3"/>
      <c r="B78" s="58" t="str">
        <v>Species</v>
      </c>
      <c r="C78" s="40" t="n">
        <v>2016</v>
      </c>
      <c r="D78" s="44" t="n">
        <v>1195</v>
      </c>
      <c r="E78" s="44" t="n">
        <v>281</v>
      </c>
      <c r="F78" s="62" t="n">
        <v>5.364</v>
      </c>
      <c r="G78" s="64" t="n">
        <v>4.6</v>
      </c>
      <c r="H78" s="64" t="n">
        <v>6.137</v>
      </c>
      <c r="I78" s="3"/>
    </row>
    <row r="79" ht="27" customHeight="1">
      <c r="A79" s="3"/>
      <c r="B79" s="59" t="str">
        <v>Species</v>
      </c>
      <c r="C79" s="41" t="n">
        <v>2017</v>
      </c>
      <c r="D79" s="45" t="n">
        <v>1309</v>
      </c>
      <c r="E79" s="45" t="n">
        <v>342</v>
      </c>
      <c r="F79" s="63" t="n">
        <v>5.442</v>
      </c>
      <c r="G79" s="65" t="n">
        <v>4.592</v>
      </c>
      <c r="H79" s="65" t="n">
        <v>6.291</v>
      </c>
      <c r="I79" s="3"/>
    </row>
    <row r="80" ht="27" customHeight="1">
      <c r="A80" s="3"/>
      <c r="B80" s="58" t="str">
        <v>Species</v>
      </c>
      <c r="C80" s="40" t="n">
        <v>2018</v>
      </c>
      <c r="D80" s="44" t="n">
        <v>2168</v>
      </c>
      <c r="E80" s="44" t="n">
        <v>508</v>
      </c>
      <c r="F80" s="62" t="n">
        <v>4.674</v>
      </c>
      <c r="G80" s="64" t="n">
        <v>4.172</v>
      </c>
      <c r="H80" s="64" t="n">
        <v>5.196</v>
      </c>
      <c r="I80" s="3"/>
    </row>
    <row r="81" ht="27" customHeight="1">
      <c r="A81" s="3"/>
      <c r="B81" s="59" t="str">
        <v>Species</v>
      </c>
      <c r="C81" s="41" t="n">
        <v>2019</v>
      </c>
      <c r="D81" s="45" t="n">
        <v>2545</v>
      </c>
      <c r="E81" s="45" t="n">
        <v>527</v>
      </c>
      <c r="F81" s="63" t="n">
        <v>5.046</v>
      </c>
      <c r="G81" s="65" t="n">
        <v>4.543</v>
      </c>
      <c r="H81" s="65" t="n">
        <v>5.619</v>
      </c>
      <c r="I81" s="3"/>
    </row>
    <row r="82" ht="27" customHeight="1">
      <c r="A82" s="3"/>
      <c r="B82" s="58" t="str">
        <v>Species</v>
      </c>
      <c r="C82" s="40" t="n">
        <v>2020</v>
      </c>
      <c r="D82" s="44" t="n">
        <v>2992</v>
      </c>
      <c r="E82" s="44" t="n">
        <v>606</v>
      </c>
      <c r="F82" s="62" t="n">
        <v>5.134</v>
      </c>
      <c r="G82" s="64" t="n">
        <v>4.662</v>
      </c>
      <c r="H82" s="64" t="n">
        <v>5.6</v>
      </c>
      <c r="I82" s="3"/>
    </row>
    <row r="83" ht="27" customHeight="1">
      <c r="A83" s="3"/>
      <c r="B83" s="59" t="str">
        <v>Species</v>
      </c>
      <c r="C83" s="41" t="n">
        <v>2021</v>
      </c>
      <c r="D83" s="45" t="n">
        <v>3998</v>
      </c>
      <c r="E83" s="45" t="n">
        <v>680</v>
      </c>
      <c r="F83" s="63" t="n">
        <v>4.581</v>
      </c>
      <c r="G83" s="65" t="n">
        <v>4.197</v>
      </c>
      <c r="H83" s="65" t="n">
        <v>5.048</v>
      </c>
      <c r="I83" s="3"/>
    </row>
    <row r="84" ht="27" customHeight="1">
      <c r="A84" s="3"/>
      <c r="B84" s="58" t="str">
        <v>Species</v>
      </c>
      <c r="C84" s="40" t="n">
        <v>2022</v>
      </c>
      <c r="D84" s="44" t="n">
        <v>4944</v>
      </c>
      <c r="E84" s="44" t="n">
        <v>755</v>
      </c>
      <c r="F84" s="62" t="n">
        <v>4.152</v>
      </c>
      <c r="G84" s="64" t="n">
        <v>3.836</v>
      </c>
      <c r="H84" s="64" t="n">
        <v>4.507</v>
      </c>
      <c r="I84" s="3"/>
    </row>
    <row r="85" ht="27" customHeight="1">
      <c r="A85" s="3"/>
      <c r="B85" s="59" t="str">
        <v>Species</v>
      </c>
      <c r="C85" s="41" t="n">
        <v>2023</v>
      </c>
      <c r="D85" s="45" t="n">
        <v>4616</v>
      </c>
      <c r="E85" s="45" t="n">
        <v>688</v>
      </c>
      <c r="F85" s="63" t="n">
        <v>3.949</v>
      </c>
      <c r="G85" s="65" t="n">
        <v>3.656</v>
      </c>
      <c r="H85" s="65" t="n">
        <v>4.266</v>
      </c>
      <c r="I85" s="3"/>
    </row>
    <row r="86" ht="27" customHeight="1">
      <c r="A86" s="3"/>
      <c r="B86" s="58" t="str">
        <v>Species</v>
      </c>
      <c r="C86" s="40" t="n">
        <v>2024</v>
      </c>
      <c r="D86" s="44" t="n">
        <v>4716</v>
      </c>
      <c r="E86" s="44" t="n">
        <v>758</v>
      </c>
      <c r="F86" s="62" t="n">
        <v>3.987</v>
      </c>
      <c r="G86" s="64" t="n">
        <v>3.701</v>
      </c>
      <c r="H86" s="64" t="n">
        <v>4.312</v>
      </c>
      <c r="I86" s="3"/>
    </row>
    <row r="87" ht="27" customHeight="1">
      <c r="A87" s="3"/>
      <c r="B87" s="66" t="str">
        <v>Species</v>
      </c>
      <c r="C87" s="67" t="n">
        <v>2025</v>
      </c>
      <c r="D87" s="68" t="n">
        <v>6231</v>
      </c>
      <c r="E87" s="68" t="n">
        <v>858</v>
      </c>
      <c r="F87" s="69" t="n">
        <v>3.535</v>
      </c>
      <c r="G87" s="70" t="n">
        <v>3.303</v>
      </c>
      <c r="H87" s="70" t="n">
        <v>3.777</v>
      </c>
      <c r="I87" s="3"/>
    </row>
    <row r="88" ht="23" customHeight="1">
      <c r="A88" s="3"/>
      <c r="B88" s="3"/>
      <c r="C88" s="3"/>
      <c r="D88" s="3"/>
      <c r="E88" s="3"/>
      <c r="F88" s="3"/>
      <c r="G88" s="3"/>
      <c r="H88" s="3"/>
      <c r="I88" s="3"/>
    </row>
    <row r="89" ht="23" customHeight="1">
      <c r="A89" s="3"/>
      <c r="B89" s="3"/>
      <c r="C89" s="3"/>
      <c r="D89" s="3"/>
      <c r="E89" s="3"/>
      <c r="F89" s="3"/>
      <c r="G89" s="3"/>
      <c r="H89" s="3"/>
      <c r="I89" s="3"/>
    </row>
    <row r="90" ht="23" customHeight="1">
      <c r="A90" s="3"/>
      <c r="B90" s="53" t="str">
        <v>Table scope</v>
      </c>
      <c r="C90" s="5"/>
      <c r="D90" s="5"/>
      <c r="E90" s="5"/>
      <c r="F90" s="3"/>
      <c r="G90" s="3"/>
      <c r="H90" s="3"/>
      <c r="I90" s="3"/>
    </row>
    <row r="91" ht="27" customHeight="1">
      <c r="A91" s="3"/>
      <c r="B91" s="12" t="str">
        <v>Effective number of categories by axis and release year (Fig. 1a)</v>
      </c>
      <c r="C91" s="12"/>
      <c r="D91" s="12"/>
      <c r="E91" s="12"/>
      <c r="F91" s="3"/>
      <c r="G91" s="3"/>
      <c r="H91" s="3"/>
      <c r="I91" s="3"/>
    </row>
    <row r="92" ht="23" customHeight="1">
      <c r="A92" s="3"/>
      <c r="B92" s="3"/>
      <c r="C92" s="3"/>
      <c r="D92" s="3"/>
      <c r="E92" s="3"/>
      <c r="F92" s="3"/>
      <c r="G92" s="3"/>
      <c r="H92" s="3"/>
      <c r="I92" s="3"/>
    </row>
    <row r="93" ht="23" customHeight="1">
      <c r="A93" s="3"/>
      <c r="B93" s="53" t="str">
        <v>Definition</v>
      </c>
      <c r="C93" s="5"/>
      <c r="D93" s="5"/>
      <c r="E93" s="5"/>
      <c r="F93" s="3"/>
      <c r="G93" s="3"/>
      <c r="H93" s="3"/>
      <c r="I93" s="3"/>
    </row>
    <row r="94" ht="72" customHeight="1">
      <c r="A94" s="3"/>
      <c r="B94" s="12" t="str">
        <v>Inverse Simpson index of category shares among each year’s datasets; fractional credit for multiple categories; 95% intervals by bootstrap over contributor groups (300 replicates). Contributor-group diversity is descriptive; its intervals are omitted.</v>
      </c>
      <c r="C94" s="12"/>
      <c r="D94" s="12"/>
      <c r="E94" s="12"/>
      <c r="F94" s="3"/>
      <c r="G94" s="3"/>
      <c r="H94" s="3"/>
      <c r="I94" s="3"/>
    </row>
    <row r="95" ht="23" customHeight="1">
      <c r="A95" s="3"/>
      <c r="B95" s="3"/>
      <c r="C95" s="3"/>
      <c r="D95" s="3"/>
      <c r="E95" s="3"/>
      <c r="F95" s="3"/>
      <c r="G95" s="3"/>
      <c r="H95" s="3"/>
      <c r="I95" s="3"/>
    </row>
    <row r="96" ht="23" customHeight="1">
      <c r="A96" s="3"/>
      <c r="B96" s="53" t="str">
        <v>Source</v>
      </c>
      <c r="C96" s="5"/>
      <c r="D96" s="5"/>
      <c r="E96" s="5"/>
      <c r="F96" s="3"/>
      <c r="G96" s="3"/>
      <c r="H96" s="3"/>
      <c r="I96" s="3"/>
    </row>
    <row r="97" ht="27" customHeight="1">
      <c r="A97" s="3"/>
      <c r="B97" s="12" t="str">
        <v>Gallery/data/42-breadth.csv</v>
      </c>
      <c r="C97" s="12"/>
      <c r="D97" s="12"/>
      <c r="E97" s="12"/>
      <c r="F97" s="3"/>
      <c r="G97" s="3"/>
      <c r="H97" s="3"/>
      <c r="I97" s="3"/>
    </row>
    <row r="98" ht="23" customHeight="1">
      <c r="A98" s="3"/>
      <c r="B98" s="3"/>
      <c r="C98" s="3"/>
      <c r="D98" s="3"/>
      <c r="E98" s="3"/>
      <c r="F98" s="3"/>
      <c r="G98" s="3"/>
      <c r="H98" s="3"/>
      <c r="I98" s="3"/>
    </row>
    <row r="99" ht="23" customHeight="1">
      <c r="A99" s="3"/>
      <c r="B99" s="53" t="str">
        <v>Original column names</v>
      </c>
      <c r="C99" s="5"/>
      <c r="D99" s="5"/>
      <c r="E99" s="5"/>
      <c r="F99" s="3"/>
      <c r="G99" s="3"/>
      <c r="H99" s="3"/>
      <c r="I99" s="3"/>
    </row>
    <row r="100" ht="27" customHeight="1">
      <c r="A100" s="3"/>
      <c r="B100" s="12" t="str">
        <v>axis, year, datasets, categories, eff, lo, hi</v>
      </c>
      <c r="C100" s="12"/>
      <c r="D100" s="12"/>
      <c r="E100" s="12"/>
      <c r="F100" s="3"/>
      <c r="G100" s="3"/>
      <c r="H100" s="3"/>
      <c r="I100" s="3"/>
    </row>
    <row r="101" ht="23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23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23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23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23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23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23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23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23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23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23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23" customHeight="1">
      <c r="A112" s="3"/>
      <c r="B112" s="3"/>
      <c r="C112" s="3"/>
      <c r="D112" s="3"/>
      <c r="E112" s="3"/>
      <c r="F112" s="3"/>
      <c r="G112" s="3"/>
      <c r="H112" s="3"/>
      <c r="I112" s="3"/>
    </row>
  </sheetData>
  <mergeCells>
    <mergeCell ref="B2:E2"/>
    <mergeCell ref="B3:E3"/>
    <mergeCell ref="B4:E4"/>
    <mergeCell ref="B90:E90"/>
    <mergeCell ref="B91:E91"/>
    <mergeCell ref="B93:E93"/>
    <mergeCell ref="B94:E94"/>
    <mergeCell ref="B96:E96"/>
    <mergeCell ref="B97:E97"/>
    <mergeCell ref="B99:E99"/>
    <mergeCell ref="B100:E100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9" orientation="landscape" scale="90" useFirstPageNumber="0"/>
  <headerFooter>
    <oddFooter>&amp;LPRIDE supplementary tables&amp;CS2&amp;RPage &amp;P of &amp;N</oddFooter>
  </headerFooter>
  <tableParts count="1">
    <tablePart ns1:id="R02ce76a9f86743a9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2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23" customHeight="1">
      <c r="A2" s="3"/>
      <c r="B2" s="5" t="str">
        <v>SUPPLEMENTARY TABLE S3</v>
      </c>
      <c r="C2" s="5"/>
      <c r="D2" s="5"/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30" customHeight="1">
      <c r="A3" s="3"/>
      <c r="B3" s="7" t="str">
        <v>Diversity across periods</v>
      </c>
      <c r="C3" s="7"/>
      <c r="D3" s="7"/>
      <c r="E3" s="7"/>
      <c r="F3" s="7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29" customHeight="1">
      <c r="A4" s="3"/>
      <c r="B4" s="12" t="str">
        <v>2023–2025 compared with 2013–2015. Ratios compare the later period with the earlier period.</v>
      </c>
      <c r="C4" s="12"/>
      <c r="D4" s="12"/>
      <c r="E4" s="12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23" customHeight="1">
      <c r="A5" s="3"/>
      <c r="B5" s="28"/>
      <c r="C5" s="28"/>
      <c r="D5" s="28"/>
      <c r="E5" s="28"/>
      <c r="F5" s="28"/>
      <c r="G5" s="2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ht="54" customHeight="1">
      <c r="A7" s="3"/>
      <c r="B7" s="35" t="str">
        <v>Axis</v>
      </c>
      <c r="C7" s="36" t="str">
        <v>Datasets, early</v>
      </c>
      <c r="D7" s="36" t="str">
        <v>Datasets, later</v>
      </c>
      <c r="E7" s="36" t="str">
        <v>Order 2, early</v>
      </c>
      <c r="F7" s="36" t="str">
        <v>Order 2, later</v>
      </c>
      <c r="G7" s="36" t="str">
        <v>Order 2, ratio</v>
      </c>
      <c r="H7" s="36" t="str">
        <v>Order 2, ratio lower 95%</v>
      </c>
      <c r="I7" s="36" t="str">
        <v>Order 2, ratio upper 95%</v>
      </c>
      <c r="J7" s="36" t="str">
        <v>Order 1, early</v>
      </c>
      <c r="K7" s="36" t="str">
        <v>Order 1, later</v>
      </c>
      <c r="L7" s="36" t="str">
        <v>Order 1, ratio</v>
      </c>
      <c r="M7" s="36" t="str">
        <v>Order 1, ratio lower 95%</v>
      </c>
      <c r="N7" s="36" t="str">
        <v>Order 1, ratio upper 95%</v>
      </c>
      <c r="O7" s="36" t="str">
        <v>Order 0, early</v>
      </c>
      <c r="P7" s="36" t="str">
        <v>Order 0, later</v>
      </c>
      <c r="Q7" s="36" t="str">
        <v>Order 0, ratio</v>
      </c>
      <c r="R7" s="37" t="str">
        <v>Datasets per subsample</v>
      </c>
      <c r="S7" s="3"/>
    </row>
    <row r="8" ht="27" customHeight="1">
      <c r="A8" s="3"/>
      <c r="B8" s="58" t="str">
        <v>Analysis tools</v>
      </c>
      <c r="C8" s="44" t="n">
        <v>1096</v>
      </c>
      <c r="D8" s="44" t="n">
        <v>13773</v>
      </c>
      <c r="E8" s="62" t="n">
        <v>5.592</v>
      </c>
      <c r="F8" s="62" t="n">
        <v>5.958</v>
      </c>
      <c r="G8" s="62" t="n">
        <v>1.065</v>
      </c>
      <c r="H8" s="64" t="n">
        <v>0.952</v>
      </c>
      <c r="I8" s="64" t="n">
        <v>1.229</v>
      </c>
      <c r="J8" s="62" t="n">
        <v>8.284</v>
      </c>
      <c r="K8" s="62" t="n">
        <v>9.867</v>
      </c>
      <c r="L8" s="62" t="n">
        <v>1.191</v>
      </c>
      <c r="M8" s="64" t="n">
        <v>1.086</v>
      </c>
      <c r="N8" s="64" t="n">
        <v>1.341</v>
      </c>
      <c r="O8" s="44" t="n">
        <v>19</v>
      </c>
      <c r="P8" s="62" t="n">
        <v>21.9</v>
      </c>
      <c r="Q8" s="62" t="n">
        <v>1.153</v>
      </c>
      <c r="R8" s="44" t="n">
        <v>1096</v>
      </c>
      <c r="S8" s="3"/>
    </row>
    <row r="9" ht="27" customHeight="1">
      <c r="A9" s="3"/>
      <c r="B9" s="59" t="str">
        <v>Contributor groups</v>
      </c>
      <c r="C9" s="45" t="n">
        <v>1531</v>
      </c>
      <c r="D9" s="45" t="n">
        <v>15565</v>
      </c>
      <c r="E9" s="63" t="n">
        <v>406.444</v>
      </c>
      <c r="F9" s="63" t="n">
        <v>2031.25</v>
      </c>
      <c r="G9" s="63" t="n">
        <v>4.998</v>
      </c>
      <c r="H9" s="65"/>
      <c r="I9" s="65"/>
      <c r="J9" s="63" t="n">
        <v>672.568</v>
      </c>
      <c r="K9" s="63" t="n">
        <v>4397.685</v>
      </c>
      <c r="L9" s="63" t="n">
        <v>6.539</v>
      </c>
      <c r="M9" s="65"/>
      <c r="N9" s="65"/>
      <c r="O9" s="45" t="n">
        <v>922</v>
      </c>
      <c r="P9" s="63" t="n">
        <v>1239.62</v>
      </c>
      <c r="Q9" s="63" t="n">
        <v>1.344</v>
      </c>
      <c r="R9" s="45" t="n">
        <v>1531</v>
      </c>
      <c r="S9" s="3"/>
    </row>
    <row r="10" ht="27" customHeight="1">
      <c r="A10" s="3"/>
      <c r="B10" s="58" t="str">
        <v>Countries</v>
      </c>
      <c r="C10" s="44" t="n">
        <v>1191</v>
      </c>
      <c r="D10" s="44" t="n">
        <v>12085</v>
      </c>
      <c r="E10" s="62" t="n">
        <v>11.77</v>
      </c>
      <c r="F10" s="62" t="n">
        <v>11.198</v>
      </c>
      <c r="G10" s="62" t="n">
        <v>0.951</v>
      </c>
      <c r="H10" s="64" t="n">
        <v>0.808</v>
      </c>
      <c r="I10" s="64" t="n">
        <v>1.19</v>
      </c>
      <c r="J10" s="62" t="n">
        <v>17.536</v>
      </c>
      <c r="K10" s="62" t="n">
        <v>18.711</v>
      </c>
      <c r="L10" s="62" t="n">
        <v>1.067</v>
      </c>
      <c r="M10" s="64" t="n">
        <v>0.973</v>
      </c>
      <c r="N10" s="64" t="n">
        <v>1.229</v>
      </c>
      <c r="O10" s="44" t="n">
        <v>38</v>
      </c>
      <c r="P10" s="62" t="n">
        <v>47.7</v>
      </c>
      <c r="Q10" s="62" t="n">
        <v>1.255</v>
      </c>
      <c r="R10" s="44" t="n">
        <v>1191</v>
      </c>
      <c r="S10" s="3"/>
    </row>
    <row r="11" ht="27" customHeight="1">
      <c r="A11" s="3"/>
      <c r="B11" s="59" t="str">
        <v>Instrument models</v>
      </c>
      <c r="C11" s="45" t="n">
        <v>1500</v>
      </c>
      <c r="D11" s="45" t="n">
        <v>15307</v>
      </c>
      <c r="E11" s="63" t="n">
        <v>6.093</v>
      </c>
      <c r="F11" s="63" t="n">
        <v>10.873</v>
      </c>
      <c r="G11" s="63" t="n">
        <v>1.785</v>
      </c>
      <c r="H11" s="65" t="n">
        <v>1.614</v>
      </c>
      <c r="I11" s="65" t="n">
        <v>1.981</v>
      </c>
      <c r="J11" s="63" t="n">
        <v>10.584</v>
      </c>
      <c r="K11" s="63" t="n">
        <v>17.168</v>
      </c>
      <c r="L11" s="63" t="n">
        <v>1.622</v>
      </c>
      <c r="M11" s="65" t="n">
        <v>1.494</v>
      </c>
      <c r="N11" s="65" t="n">
        <v>1.863</v>
      </c>
      <c r="O11" s="45" t="n">
        <v>66</v>
      </c>
      <c r="P11" s="63" t="n">
        <v>61.74</v>
      </c>
      <c r="Q11" s="63" t="n">
        <v>0.935</v>
      </c>
      <c r="R11" s="45" t="n">
        <v>1500</v>
      </c>
      <c r="S11" s="3"/>
    </row>
    <row r="12" ht="27" customHeight="1">
      <c r="A12" s="3"/>
      <c r="B12" s="58" t="str">
        <v>Instrument vendors</v>
      </c>
      <c r="C12" s="44" t="n">
        <v>1500</v>
      </c>
      <c r="D12" s="44" t="n">
        <v>15307</v>
      </c>
      <c r="E12" s="62" t="n">
        <v>1.433</v>
      </c>
      <c r="F12" s="62" t="n">
        <v>1.404</v>
      </c>
      <c r="G12" s="62" t="n">
        <v>0.98</v>
      </c>
      <c r="H12" s="64" t="n">
        <v>0.901</v>
      </c>
      <c r="I12" s="64" t="n">
        <v>1.049</v>
      </c>
      <c r="J12" s="62" t="n">
        <v>1.977</v>
      </c>
      <c r="K12" s="62" t="n">
        <v>1.866</v>
      </c>
      <c r="L12" s="62" t="n">
        <v>0.944</v>
      </c>
      <c r="M12" s="64" t="n">
        <v>0.863</v>
      </c>
      <c r="N12" s="64" t="n">
        <v>1.029</v>
      </c>
      <c r="O12" s="44" t="n">
        <v>7</v>
      </c>
      <c r="P12" s="62" t="n">
        <v>6.84</v>
      </c>
      <c r="Q12" s="62" t="n">
        <v>0.977</v>
      </c>
      <c r="R12" s="44" t="n">
        <v>1500</v>
      </c>
      <c r="S12" s="3"/>
    </row>
    <row r="13" ht="27" customHeight="1">
      <c r="A13" s="3"/>
      <c r="B13" s="59" t="str">
        <v>Journals</v>
      </c>
      <c r="C13" s="45" t="n">
        <v>1431</v>
      </c>
      <c r="D13" s="45" t="n">
        <v>10296</v>
      </c>
      <c r="E13" s="63" t="n">
        <v>12.84</v>
      </c>
      <c r="F13" s="63" t="n">
        <v>69.447</v>
      </c>
      <c r="G13" s="63" t="n">
        <v>5.409</v>
      </c>
      <c r="H13" s="65" t="n">
        <v>4.681</v>
      </c>
      <c r="I13" s="65" t="n">
        <v>6.327</v>
      </c>
      <c r="J13" s="63" t="n">
        <v>36.038</v>
      </c>
      <c r="K13" s="63" t="n">
        <v>232.12</v>
      </c>
      <c r="L13" s="63" t="n">
        <v>6.441</v>
      </c>
      <c r="M13" s="65" t="n">
        <v>5.925</v>
      </c>
      <c r="N13" s="65" t="n">
        <v>7.564</v>
      </c>
      <c r="O13" s="45" t="n">
        <v>201</v>
      </c>
      <c r="P13" s="63" t="n">
        <v>418.22</v>
      </c>
      <c r="Q13" s="63" t="n">
        <v>2.081</v>
      </c>
      <c r="R13" s="45" t="n">
        <v>1431</v>
      </c>
      <c r="S13" s="3"/>
    </row>
    <row r="14" ht="27" customHeight="1">
      <c r="A14" s="3"/>
      <c r="B14" s="58" t="str">
        <v>Research subfields</v>
      </c>
      <c r="C14" s="44" t="n">
        <v>1436</v>
      </c>
      <c r="D14" s="44" t="n">
        <v>10807</v>
      </c>
      <c r="E14" s="62" t="n">
        <v>7.283</v>
      </c>
      <c r="F14" s="62" t="n">
        <v>7.616</v>
      </c>
      <c r="G14" s="62" t="n">
        <v>1.046</v>
      </c>
      <c r="H14" s="64" t="n">
        <v>0.925</v>
      </c>
      <c r="I14" s="64" t="n">
        <v>1.237</v>
      </c>
      <c r="J14" s="62" t="n">
        <v>17.462</v>
      </c>
      <c r="K14" s="62" t="n">
        <v>22.849</v>
      </c>
      <c r="L14" s="62" t="n">
        <v>1.308</v>
      </c>
      <c r="M14" s="64" t="n">
        <v>1.201</v>
      </c>
      <c r="N14" s="64" t="n">
        <v>1.54</v>
      </c>
      <c r="O14" s="44" t="n">
        <v>70</v>
      </c>
      <c r="P14" s="62" t="n">
        <v>85.42</v>
      </c>
      <c r="Q14" s="62" t="n">
        <v>1.22</v>
      </c>
      <c r="R14" s="44" t="n">
        <v>1436</v>
      </c>
      <c r="S14" s="3"/>
    </row>
    <row r="15" ht="27" customHeight="1">
      <c r="A15" s="3"/>
      <c r="B15" s="66" t="str">
        <v>Species</v>
      </c>
      <c r="C15" s="68" t="n">
        <v>1527</v>
      </c>
      <c r="D15" s="68" t="n">
        <v>15563</v>
      </c>
      <c r="E15" s="69" t="n">
        <v>5.633</v>
      </c>
      <c r="F15" s="69" t="n">
        <v>3.787</v>
      </c>
      <c r="G15" s="69" t="n">
        <v>0.672</v>
      </c>
      <c r="H15" s="70" t="n">
        <v>0.564</v>
      </c>
      <c r="I15" s="70" t="n">
        <v>0.796</v>
      </c>
      <c r="J15" s="69" t="n">
        <v>26.492</v>
      </c>
      <c r="K15" s="69" t="n">
        <v>18.096</v>
      </c>
      <c r="L15" s="69" t="n">
        <v>0.683</v>
      </c>
      <c r="M15" s="70" t="n">
        <v>0.595</v>
      </c>
      <c r="N15" s="70" t="n">
        <v>0.92</v>
      </c>
      <c r="O15" s="68" t="n">
        <v>350</v>
      </c>
      <c r="P15" s="69" t="n">
        <v>318.72</v>
      </c>
      <c r="Q15" s="69" t="n">
        <v>0.911</v>
      </c>
      <c r="R15" s="68" t="n">
        <v>1527</v>
      </c>
      <c r="S15" s="3"/>
    </row>
    <row r="16" ht="23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ht="23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ht="23" customHeight="1">
      <c r="A18" s="3"/>
      <c r="B18" s="53" t="str">
        <v>Table scope</v>
      </c>
      <c r="C18" s="5"/>
      <c r="D18" s="5"/>
      <c r="E18" s="5"/>
      <c r="F18" s="5"/>
      <c r="G18" s="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ht="27" customHeight="1">
      <c r="A19" s="3"/>
      <c r="B19" s="12" t="str">
        <v>Breadth of the archive: 2023–25 vs 2013–15 at three diversity orders (Fig. 1b)</v>
      </c>
      <c r="C19" s="12"/>
      <c r="D19" s="12"/>
      <c r="E19" s="12"/>
      <c r="F19" s="12"/>
      <c r="G19" s="1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ht="23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23" customHeight="1">
      <c r="A21" s="3"/>
      <c r="B21" s="53" t="str">
        <v>Definition</v>
      </c>
      <c r="C21" s="5"/>
      <c r="D21" s="5"/>
      <c r="E21" s="5"/>
      <c r="F21" s="5"/>
      <c r="G21" s="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87" customHeight="1">
      <c r="A22" s="3"/>
      <c r="B22" s="12" t="str">
        <v>Hill numbers: order 2 = inverse Simpson, order 1 = exp(Shannon), order 0 = richness rarefied to the smaller period’s dataset count (mean of 50 subsamples). Ratios with 95% intervals from bootstrap over contributor groups within each period (orders 1 and 2; 300 replicates). Instrument models harmonised as in the fleet analysis; vendors are the harmonised models’ vendors; contributor groups credit each dataset to its group. Contributor-group diversity is descriptive; its intervals are omitted.</v>
      </c>
      <c r="C22" s="12"/>
      <c r="D22" s="12"/>
      <c r="E22" s="12"/>
      <c r="F22" s="12"/>
      <c r="G22" s="1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23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23" customHeight="1">
      <c r="A24" s="3"/>
      <c r="B24" s="53" t="str">
        <v>Source</v>
      </c>
      <c r="C24" s="5"/>
      <c r="D24" s="5"/>
      <c r="E24" s="5"/>
      <c r="F24" s="5"/>
      <c r="G24" s="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27" customHeight="1">
      <c r="A25" s="3"/>
      <c r="B25" s="12" t="str">
        <v>Gallery/data/42-breadth-pooled.csv</v>
      </c>
      <c r="C25" s="12"/>
      <c r="D25" s="12"/>
      <c r="E25" s="12"/>
      <c r="F25" s="12"/>
      <c r="G25" s="1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23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23" customHeight="1">
      <c r="A27" s="3"/>
      <c r="B27" s="53" t="str">
        <v>Original column names</v>
      </c>
      <c r="C27" s="5"/>
      <c r="D27" s="5"/>
      <c r="E27" s="5"/>
      <c r="F27" s="5"/>
      <c r="G27" s="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42" customHeight="1">
      <c r="A28" s="3"/>
      <c r="B28" s="12" t="str">
        <v>axis, datasets_early, datasets_late, q2_early, q2_late, q2_ratio, q2_lo, q2_hi, q1_early, q1_late, q1_ratio, q1_lo, q1_hi, q0_early_rarefied, q0_late_rarefied, q0_ratio, rarefied_to</v>
      </c>
      <c r="C28" s="12"/>
      <c r="D28" s="12"/>
      <c r="E28" s="12"/>
      <c r="F28" s="12"/>
      <c r="G28" s="1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23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23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23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23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23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23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23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23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23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23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23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23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</sheetData>
  <mergeCells>
    <mergeCell ref="B2:G2"/>
    <mergeCell ref="B3:G3"/>
    <mergeCell ref="B4:G4"/>
    <mergeCell ref="B18:G18"/>
    <mergeCell ref="B19:G19"/>
    <mergeCell ref="B21:G21"/>
    <mergeCell ref="B22:G22"/>
    <mergeCell ref="B24:G24"/>
    <mergeCell ref="B25:G25"/>
    <mergeCell ref="B27:G27"/>
    <mergeCell ref="B28:G28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8" orientation="landscape" scale="90" useFirstPageNumber="0"/>
  <headerFooter>
    <oddFooter>&amp;LPRIDE supplementary tables&amp;CS3&amp;RPage &amp;P of &amp;N</oddFooter>
  </headerFooter>
  <tableParts count="1">
    <tablePart ns1:id="Rff1044c4d2214aa0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14" hidden="0" customWidth="1"/>
    <col min="3" max="3" width="24" hidden="0" customWidth="1"/>
    <col min="4" max="4" width="2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ht="23" customHeight="1">
      <c r="A2" s="3"/>
      <c r="B2" s="5" t="str">
        <v>SUPPLEMENTARY TABLE S4</v>
      </c>
      <c r="C2" s="5"/>
      <c r="D2" s="5"/>
      <c r="E2" s="5"/>
      <c r="F2" s="5"/>
      <c r="G2" s="5"/>
      <c r="H2" s="3"/>
      <c r="I2" s="3"/>
      <c r="J2" s="3"/>
      <c r="K2" s="3"/>
    </row>
    <row r="3" ht="30" customHeight="1">
      <c r="A3" s="3"/>
      <c r="B3" s="7" t="str">
        <v>Concentration among contributor groups</v>
      </c>
      <c r="C3" s="7"/>
      <c r="D3" s="7"/>
      <c r="E3" s="7"/>
      <c r="F3" s="7"/>
      <c r="G3" s="7"/>
      <c r="H3" s="3"/>
      <c r="I3" s="3"/>
      <c r="J3" s="3"/>
      <c r="K3" s="3"/>
    </row>
    <row r="4" ht="29" customHeight="1">
      <c r="A4" s="3"/>
      <c r="B4" s="12" t="str">
        <v>Concentration among contributor groups. Gini coefficients and shares use a 0–1 scale.</v>
      </c>
      <c r="C4" s="12"/>
      <c r="D4" s="12"/>
      <c r="E4" s="12"/>
      <c r="F4" s="12"/>
      <c r="G4" s="12"/>
      <c r="H4" s="3"/>
      <c r="I4" s="3"/>
      <c r="J4" s="3"/>
      <c r="K4" s="3"/>
    </row>
    <row r="5" ht="23" customHeight="1">
      <c r="A5" s="3"/>
      <c r="B5" s="28"/>
      <c r="C5" s="28"/>
      <c r="D5" s="28"/>
      <c r="E5" s="28"/>
      <c r="F5" s="28"/>
      <c r="G5" s="28"/>
      <c r="H5" s="3"/>
      <c r="I5" s="3"/>
      <c r="J5" s="3"/>
      <c r="K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  <c r="J6" s="3"/>
      <c r="K6" s="3"/>
    </row>
    <row r="7" ht="43" customHeight="1">
      <c r="A7" s="3"/>
      <c r="B7" s="35" t="str">
        <v>Period</v>
      </c>
      <c r="C7" s="36" t="str">
        <v>Measure</v>
      </c>
      <c r="D7" s="36" t="str">
        <v>Statistic</v>
      </c>
      <c r="E7" s="36" t="str">
        <v>Estimate</v>
      </c>
      <c r="F7" s="36" t="str">
        <v>Lower 95% bound</v>
      </c>
      <c r="G7" s="36" t="str">
        <v>Upper 95% bound</v>
      </c>
      <c r="H7" s="36" t="str">
        <v>Groups</v>
      </c>
      <c r="I7" s="36" t="str">
        <v>Datasets</v>
      </c>
      <c r="J7" s="37" t="str">
        <v>Total</v>
      </c>
      <c r="K7" s="3"/>
    </row>
    <row r="8" ht="27" customHeight="1">
      <c r="A8" s="3"/>
      <c r="B8" s="58" t="str">
        <v>All years</v>
      </c>
      <c r="C8" s="58" t="str">
        <v>datasets</v>
      </c>
      <c r="D8" s="58" t="str">
        <v>gini</v>
      </c>
      <c r="E8" s="62" t="n">
        <v>0.5362</v>
      </c>
      <c r="F8" s="64" t="n">
        <v>0.5208</v>
      </c>
      <c r="G8" s="64" t="n">
        <v>0.5509</v>
      </c>
      <c r="H8" s="44" t="n">
        <v>13892</v>
      </c>
      <c r="I8" s="44" t="n">
        <v>36244</v>
      </c>
      <c r="J8" s="44" t="n">
        <v>36244</v>
      </c>
      <c r="K8" s="3"/>
    </row>
    <row r="9" ht="27" customHeight="1">
      <c r="A9" s="3"/>
      <c r="B9" s="59" t="str">
        <v>All years</v>
      </c>
      <c r="C9" s="59" t="str">
        <v>datasets</v>
      </c>
      <c r="D9" s="59" t="str">
        <v>top1</v>
      </c>
      <c r="E9" s="63" t="n">
        <v>0.183</v>
      </c>
      <c r="F9" s="65" t="n">
        <v>0.1668</v>
      </c>
      <c r="G9" s="65" t="n">
        <v>0.1985</v>
      </c>
      <c r="H9" s="45" t="n">
        <v>13892</v>
      </c>
      <c r="I9" s="45" t="n">
        <v>36244</v>
      </c>
      <c r="J9" s="45" t="n">
        <v>36244</v>
      </c>
      <c r="K9" s="3"/>
    </row>
    <row r="10" ht="27" customHeight="1">
      <c r="A10" s="3"/>
      <c r="B10" s="58" t="str">
        <v>All years</v>
      </c>
      <c r="C10" s="58" t="str">
        <v>datasets</v>
      </c>
      <c r="D10" s="58" t="str">
        <v>top10</v>
      </c>
      <c r="E10" s="62" t="n">
        <v>0.5125</v>
      </c>
      <c r="F10" s="64" t="n">
        <v>0.4963</v>
      </c>
      <c r="G10" s="64" t="n">
        <v>0.5274</v>
      </c>
      <c r="H10" s="44" t="n">
        <v>13892</v>
      </c>
      <c r="I10" s="44" t="n">
        <v>36244</v>
      </c>
      <c r="J10" s="44" t="n">
        <v>36244</v>
      </c>
      <c r="K10" s="3"/>
    </row>
    <row r="11" ht="27" customHeight="1">
      <c r="A11" s="3"/>
      <c r="B11" s="59" t="str">
        <v>All years</v>
      </c>
      <c r="C11" s="59" t="str">
        <v>bytes</v>
      </c>
      <c r="D11" s="59" t="str">
        <v>gini</v>
      </c>
      <c r="E11" s="63" t="n">
        <v>0.8472</v>
      </c>
      <c r="F11" s="65" t="n">
        <v>0.8335</v>
      </c>
      <c r="G11" s="65" t="n">
        <v>0.8611</v>
      </c>
      <c r="H11" s="45" t="n">
        <v>13892</v>
      </c>
      <c r="I11" s="45" t="n">
        <v>36244</v>
      </c>
      <c r="J11" s="73" t="n">
        <v>2708283238944396</v>
      </c>
      <c r="K11" s="3"/>
    </row>
    <row r="12" ht="27" customHeight="1">
      <c r="A12" s="3"/>
      <c r="B12" s="58" t="str">
        <v>All years</v>
      </c>
      <c r="C12" s="58" t="str">
        <v>bytes</v>
      </c>
      <c r="D12" s="58" t="str">
        <v>top1</v>
      </c>
      <c r="E12" s="62" t="n">
        <v>0.378</v>
      </c>
      <c r="F12" s="64" t="n">
        <v>0.3306</v>
      </c>
      <c r="G12" s="64" t="n">
        <v>0.4281</v>
      </c>
      <c r="H12" s="44" t="n">
        <v>13892</v>
      </c>
      <c r="I12" s="44" t="n">
        <v>36244</v>
      </c>
      <c r="J12" s="74" t="n">
        <v>2708283238944396</v>
      </c>
      <c r="K12" s="3"/>
    </row>
    <row r="13" ht="27" customHeight="1">
      <c r="A13" s="3"/>
      <c r="B13" s="59" t="str">
        <v>All years</v>
      </c>
      <c r="C13" s="59" t="str">
        <v>bytes</v>
      </c>
      <c r="D13" s="59" t="str">
        <v>top10</v>
      </c>
      <c r="E13" s="63" t="n">
        <v>0.7807</v>
      </c>
      <c r="F13" s="65" t="n">
        <v>0.7597</v>
      </c>
      <c r="G13" s="65" t="n">
        <v>0.8018</v>
      </c>
      <c r="H13" s="45" t="n">
        <v>13892</v>
      </c>
      <c r="I13" s="45" t="n">
        <v>36244</v>
      </c>
      <c r="J13" s="73" t="n">
        <v>2708283238944396</v>
      </c>
      <c r="K13" s="3"/>
    </row>
    <row r="14" ht="27" customHeight="1">
      <c r="A14" s="3"/>
      <c r="B14" s="58" t="str">
        <v>2013–17</v>
      </c>
      <c r="C14" s="58" t="str">
        <v>datasets</v>
      </c>
      <c r="D14" s="58" t="str">
        <v>gini</v>
      </c>
      <c r="E14" s="62" t="n">
        <v>0.4176</v>
      </c>
      <c r="F14" s="64" t="n">
        <v>0.3899</v>
      </c>
      <c r="G14" s="64" t="n">
        <v>0.4457</v>
      </c>
      <c r="H14" s="44" t="n">
        <v>2015</v>
      </c>
      <c r="I14" s="44" t="n">
        <v>4036</v>
      </c>
      <c r="J14" s="44" t="n">
        <v>4036</v>
      </c>
      <c r="K14" s="3"/>
    </row>
    <row r="15" ht="27" customHeight="1">
      <c r="A15" s="3"/>
      <c r="B15" s="59" t="str">
        <v>2013–17</v>
      </c>
      <c r="C15" s="59" t="str">
        <v>datasets</v>
      </c>
      <c r="D15" s="59" t="str">
        <v>top1</v>
      </c>
      <c r="E15" s="63" t="n">
        <v>0.115</v>
      </c>
      <c r="F15" s="65" t="n">
        <v>0.0915</v>
      </c>
      <c r="G15" s="65" t="n">
        <v>0.1383</v>
      </c>
      <c r="H15" s="45" t="n">
        <v>2015</v>
      </c>
      <c r="I15" s="45" t="n">
        <v>4036</v>
      </c>
      <c r="J15" s="45" t="n">
        <v>4036</v>
      </c>
      <c r="K15" s="3"/>
    </row>
    <row r="16" ht="27" customHeight="1">
      <c r="A16" s="3"/>
      <c r="B16" s="58" t="str">
        <v>2013–17</v>
      </c>
      <c r="C16" s="58" t="str">
        <v>datasets</v>
      </c>
      <c r="D16" s="58" t="str">
        <v>top10</v>
      </c>
      <c r="E16" s="62" t="n">
        <v>0.3932</v>
      </c>
      <c r="F16" s="64" t="n">
        <v>0.3656</v>
      </c>
      <c r="G16" s="64" t="n">
        <v>0.4208</v>
      </c>
      <c r="H16" s="44" t="n">
        <v>2015</v>
      </c>
      <c r="I16" s="44" t="n">
        <v>4036</v>
      </c>
      <c r="J16" s="44" t="n">
        <v>4036</v>
      </c>
      <c r="K16" s="3"/>
    </row>
    <row r="17" ht="27" customHeight="1">
      <c r="A17" s="3"/>
      <c r="B17" s="59" t="str">
        <v>2013–17</v>
      </c>
      <c r="C17" s="59" t="str">
        <v>bytes</v>
      </c>
      <c r="D17" s="59" t="str">
        <v>gini</v>
      </c>
      <c r="E17" s="63" t="n">
        <v>0.7873</v>
      </c>
      <c r="F17" s="65" t="n">
        <v>0.751</v>
      </c>
      <c r="G17" s="65" t="n">
        <v>0.8202</v>
      </c>
      <c r="H17" s="45" t="n">
        <v>2015</v>
      </c>
      <c r="I17" s="45" t="n">
        <v>4036</v>
      </c>
      <c r="J17" s="73" t="n">
        <v>262129865595659</v>
      </c>
      <c r="K17" s="3"/>
    </row>
    <row r="18" ht="27" customHeight="1">
      <c r="A18" s="3"/>
      <c r="B18" s="58" t="str">
        <v>2013–17</v>
      </c>
      <c r="C18" s="58" t="str">
        <v>bytes</v>
      </c>
      <c r="D18" s="58" t="str">
        <v>top1</v>
      </c>
      <c r="E18" s="62" t="n">
        <v>0.3009</v>
      </c>
      <c r="F18" s="64" t="n">
        <v>0.2029</v>
      </c>
      <c r="G18" s="64" t="n">
        <v>0.3879</v>
      </c>
      <c r="H18" s="44" t="n">
        <v>2015</v>
      </c>
      <c r="I18" s="44" t="n">
        <v>4036</v>
      </c>
      <c r="J18" s="74" t="n">
        <v>262129865595659</v>
      </c>
      <c r="K18" s="3"/>
    </row>
    <row r="19" ht="27" customHeight="1">
      <c r="A19" s="3"/>
      <c r="B19" s="59" t="str">
        <v>2013–17</v>
      </c>
      <c r="C19" s="59" t="str">
        <v>bytes</v>
      </c>
      <c r="D19" s="59" t="str">
        <v>top10</v>
      </c>
      <c r="E19" s="63" t="n">
        <v>0.6755</v>
      </c>
      <c r="F19" s="65" t="n">
        <v>0.617</v>
      </c>
      <c r="G19" s="65" t="n">
        <v>0.7287</v>
      </c>
      <c r="H19" s="45" t="n">
        <v>2015</v>
      </c>
      <c r="I19" s="45" t="n">
        <v>4036</v>
      </c>
      <c r="J19" s="73" t="n">
        <v>262129865595659</v>
      </c>
      <c r="K19" s="3"/>
    </row>
    <row r="20" ht="27" customHeight="1">
      <c r="A20" s="3"/>
      <c r="B20" s="58" t="str">
        <v>2021–25</v>
      </c>
      <c r="C20" s="58" t="str">
        <v>datasets</v>
      </c>
      <c r="D20" s="58" t="str">
        <v>gini</v>
      </c>
      <c r="E20" s="62" t="n">
        <v>0.4914</v>
      </c>
      <c r="F20" s="64" t="n">
        <v>0.4749</v>
      </c>
      <c r="G20" s="64" t="n">
        <v>0.5064</v>
      </c>
      <c r="H20" s="44" t="n">
        <v>10583</v>
      </c>
      <c r="I20" s="44" t="n">
        <v>24503</v>
      </c>
      <c r="J20" s="44" t="n">
        <v>24503</v>
      </c>
      <c r="K20" s="3"/>
    </row>
    <row r="21" ht="27" customHeight="1">
      <c r="A21" s="3"/>
      <c r="B21" s="59" t="str">
        <v>2021–25</v>
      </c>
      <c r="C21" s="59" t="str">
        <v>datasets</v>
      </c>
      <c r="D21" s="59" t="str">
        <v>top1</v>
      </c>
      <c r="E21" s="63" t="n">
        <v>0.1596</v>
      </c>
      <c r="F21" s="65" t="n">
        <v>0.1448</v>
      </c>
      <c r="G21" s="65" t="n">
        <v>0.1734</v>
      </c>
      <c r="H21" s="45" t="n">
        <v>10583</v>
      </c>
      <c r="I21" s="45" t="n">
        <v>24503</v>
      </c>
      <c r="J21" s="45" t="n">
        <v>24503</v>
      </c>
      <c r="K21" s="3"/>
    </row>
    <row r="22" ht="27" customHeight="1">
      <c r="A22" s="3"/>
      <c r="B22" s="58" t="str">
        <v>2021–25</v>
      </c>
      <c r="C22" s="58" t="str">
        <v>datasets</v>
      </c>
      <c r="D22" s="58" t="str">
        <v>top10</v>
      </c>
      <c r="E22" s="62" t="n">
        <v>0.4714</v>
      </c>
      <c r="F22" s="64" t="n">
        <v>0.4548</v>
      </c>
      <c r="G22" s="64" t="n">
        <v>0.4868</v>
      </c>
      <c r="H22" s="44" t="n">
        <v>10583</v>
      </c>
      <c r="I22" s="44" t="n">
        <v>24503</v>
      </c>
      <c r="J22" s="44" t="n">
        <v>24503</v>
      </c>
      <c r="K22" s="3"/>
    </row>
    <row r="23" ht="27" customHeight="1">
      <c r="A23" s="3"/>
      <c r="B23" s="59" t="str">
        <v>2021–25</v>
      </c>
      <c r="C23" s="59" t="str">
        <v>bytes</v>
      </c>
      <c r="D23" s="59" t="str">
        <v>gini</v>
      </c>
      <c r="E23" s="63" t="n">
        <v>0.8358</v>
      </c>
      <c r="F23" s="65" t="n">
        <v>0.8194</v>
      </c>
      <c r="G23" s="65" t="n">
        <v>0.8519</v>
      </c>
      <c r="H23" s="45" t="n">
        <v>10583</v>
      </c>
      <c r="I23" s="45" t="n">
        <v>24503</v>
      </c>
      <c r="J23" s="73" t="n">
        <v>1886552693493852</v>
      </c>
      <c r="K23" s="3"/>
    </row>
    <row r="24" ht="27" customHeight="1">
      <c r="A24" s="3"/>
      <c r="B24" s="58" t="str">
        <v>2021–25</v>
      </c>
      <c r="C24" s="58" t="str">
        <v>bytes</v>
      </c>
      <c r="D24" s="58" t="str">
        <v>top1</v>
      </c>
      <c r="E24" s="62" t="n">
        <v>0.3554</v>
      </c>
      <c r="F24" s="64" t="n">
        <v>0.3036</v>
      </c>
      <c r="G24" s="64" t="n">
        <v>0.4097</v>
      </c>
      <c r="H24" s="44" t="n">
        <v>10583</v>
      </c>
      <c r="I24" s="44" t="n">
        <v>24503</v>
      </c>
      <c r="J24" s="74" t="n">
        <v>1886552693493852</v>
      </c>
      <c r="K24" s="3"/>
    </row>
    <row r="25" ht="27" customHeight="1">
      <c r="A25" s="3"/>
      <c r="B25" s="66" t="str">
        <v>2021–25</v>
      </c>
      <c r="C25" s="66" t="str">
        <v>bytes</v>
      </c>
      <c r="D25" s="66" t="str">
        <v>top10</v>
      </c>
      <c r="E25" s="69" t="n">
        <v>0.7637</v>
      </c>
      <c r="F25" s="70" t="n">
        <v>0.7386</v>
      </c>
      <c r="G25" s="70" t="n">
        <v>0.7882</v>
      </c>
      <c r="H25" s="68" t="n">
        <v>10583</v>
      </c>
      <c r="I25" s="68" t="n">
        <v>24503</v>
      </c>
      <c r="J25" s="75" t="n">
        <v>1886552693493852</v>
      </c>
      <c r="K25" s="3"/>
    </row>
    <row r="26" ht="23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3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3" customHeight="1">
      <c r="A28" s="3"/>
      <c r="B28" s="53" t="str">
        <v>Table scope</v>
      </c>
      <c r="C28" s="5"/>
      <c r="D28" s="5"/>
      <c r="E28" s="5"/>
      <c r="F28" s="5"/>
      <c r="G28" s="5"/>
      <c r="H28" s="3"/>
      <c r="I28" s="3"/>
      <c r="J28" s="3"/>
      <c r="K28" s="3"/>
    </row>
    <row r="29" ht="27" customHeight="1">
      <c r="A29" s="3"/>
      <c r="B29" s="12" t="str">
        <v>Concentration of datasets and bytes across contributor groups (Supplementary Fig. 1)</v>
      </c>
      <c r="C29" s="12"/>
      <c r="D29" s="12"/>
      <c r="E29" s="12"/>
      <c r="F29" s="12"/>
      <c r="G29" s="12"/>
      <c r="H29" s="3"/>
      <c r="I29" s="3"/>
      <c r="J29" s="3"/>
      <c r="K29" s="3"/>
    </row>
    <row r="30" ht="23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3" customHeight="1">
      <c r="A31" s="3"/>
      <c r="B31" s="53" t="str">
        <v>Definition</v>
      </c>
      <c r="C31" s="5"/>
      <c r="D31" s="5"/>
      <c r="E31" s="5"/>
      <c r="F31" s="5"/>
      <c r="G31" s="5"/>
      <c r="H31" s="3"/>
      <c r="I31" s="3"/>
      <c r="J31" s="3"/>
      <c r="K31" s="3"/>
    </row>
    <row r="32" ht="27" customHeight="1">
      <c r="A32" s="3"/>
      <c r="B32" s="12" t="str">
        <v>Shares supplied by the largest groups, by period; Gini coefficients; 95% bootstrap over groups.</v>
      </c>
      <c r="C32" s="12"/>
      <c r="D32" s="12"/>
      <c r="E32" s="12"/>
      <c r="F32" s="12"/>
      <c r="G32" s="12"/>
      <c r="H32" s="3"/>
      <c r="I32" s="3"/>
      <c r="J32" s="3"/>
      <c r="K32" s="3"/>
    </row>
    <row r="33" ht="23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3" customHeight="1">
      <c r="A34" s="3"/>
      <c r="B34" s="53" t="str">
        <v>Source</v>
      </c>
      <c r="C34" s="5"/>
      <c r="D34" s="5"/>
      <c r="E34" s="5"/>
      <c r="F34" s="5"/>
      <c r="G34" s="5"/>
      <c r="H34" s="3"/>
      <c r="I34" s="3"/>
      <c r="J34" s="3"/>
      <c r="K34" s="3"/>
    </row>
    <row r="35" ht="27" customHeight="1">
      <c r="A35" s="3"/>
      <c r="B35" s="12" t="str">
        <v>Gallery/data/34-contributor-concentration*.csv</v>
      </c>
      <c r="C35" s="12"/>
      <c r="D35" s="12"/>
      <c r="E35" s="12"/>
      <c r="F35" s="12"/>
      <c r="G35" s="12"/>
      <c r="H35" s="3"/>
      <c r="I35" s="3"/>
      <c r="J35" s="3"/>
      <c r="K35" s="3"/>
    </row>
    <row r="36" ht="23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3" customHeight="1">
      <c r="A37" s="3"/>
      <c r="B37" s="53" t="str">
        <v>Original column names</v>
      </c>
      <c r="C37" s="5"/>
      <c r="D37" s="5"/>
      <c r="E37" s="5"/>
      <c r="F37" s="5"/>
      <c r="G37" s="5"/>
      <c r="H37" s="3"/>
      <c r="I37" s="3"/>
      <c r="J37" s="3"/>
      <c r="K37" s="3"/>
    </row>
    <row r="38" ht="27" customHeight="1">
      <c r="A38" s="3"/>
      <c r="B38" s="12" t="str">
        <v>period, measure, stat, est, lo, hi, groups, datasets, total</v>
      </c>
      <c r="C38" s="12"/>
      <c r="D38" s="12"/>
      <c r="E38" s="12"/>
      <c r="F38" s="12"/>
      <c r="G38" s="12"/>
      <c r="H38" s="3"/>
      <c r="I38" s="3"/>
      <c r="J38" s="3"/>
      <c r="K38" s="3"/>
    </row>
    <row r="39" ht="23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3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3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3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3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3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3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3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3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3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3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3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mergeCells>
    <mergeCell ref="B2:G2"/>
    <mergeCell ref="B3:G3"/>
    <mergeCell ref="B4:G4"/>
    <mergeCell ref="B28:G28"/>
    <mergeCell ref="B29:G29"/>
    <mergeCell ref="B31:G31"/>
    <mergeCell ref="B32:G32"/>
    <mergeCell ref="B34:G34"/>
    <mergeCell ref="B35:G35"/>
    <mergeCell ref="B37:G37"/>
    <mergeCell ref="B38:G38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9" orientation="landscape" scale="90" useFirstPageNumber="0"/>
  <headerFooter>
    <oddFooter>&amp;LPRIDE supplementary tables&amp;CS4&amp;RPage &amp;P of &amp;N</oddFooter>
  </headerFooter>
  <tableParts count="1">
    <tablePart ns1:id="R9dc9331ec5454a3c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</row>
    <row r="2" ht="23" customHeight="1">
      <c r="A2" s="3"/>
      <c r="B2" s="5" t="str">
        <v>SUPPLEMENTARY TABLE S5</v>
      </c>
      <c r="C2" s="5"/>
      <c r="D2" s="5"/>
      <c r="E2" s="5"/>
      <c r="F2" s="3"/>
      <c r="G2" s="3"/>
      <c r="H2" s="3"/>
      <c r="I2" s="3"/>
    </row>
    <row r="3" ht="30" customHeight="1">
      <c r="A3" s="3"/>
      <c r="B3" s="7" t="str">
        <v>Contributor groups by deposit count</v>
      </c>
      <c r="C3" s="7"/>
      <c r="D3" s="7"/>
      <c r="E3" s="7"/>
      <c r="F3" s="3"/>
      <c r="G3" s="3"/>
      <c r="H3" s="3"/>
      <c r="I3" s="3"/>
    </row>
    <row r="4" ht="36" customHeight="1">
      <c r="A4" s="3"/>
      <c r="B4" s="12" t="str">
        <v>Groups defined from hashed principal-investigator contacts. Bytes include all listed files.</v>
      </c>
      <c r="C4" s="12"/>
      <c r="D4" s="12"/>
      <c r="E4" s="12"/>
      <c r="F4" s="3"/>
      <c r="G4" s="3"/>
      <c r="H4" s="3"/>
      <c r="I4" s="3"/>
    </row>
    <row r="5" ht="23" customHeight="1">
      <c r="A5" s="3"/>
      <c r="B5" s="28"/>
      <c r="C5" s="28"/>
      <c r="D5" s="28"/>
      <c r="E5" s="28"/>
      <c r="F5" s="3"/>
      <c r="G5" s="3"/>
      <c r="H5" s="3"/>
      <c r="I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</row>
    <row r="7" ht="43" customHeight="1">
      <c r="A7" s="3"/>
      <c r="B7" s="35" t="str">
        <v>Datasets per group</v>
      </c>
      <c r="C7" s="36" t="str">
        <v>Groups</v>
      </c>
      <c r="D7" s="36" t="str">
        <v>Datasets</v>
      </c>
      <c r="E7" s="36" t="str">
        <v>Bytes</v>
      </c>
      <c r="F7" s="36" t="str">
        <v>Groups (%)</v>
      </c>
      <c r="G7" s="36" t="str">
        <v>Datasets (%)</v>
      </c>
      <c r="H7" s="37" t="str">
        <v>Bytes (%)</v>
      </c>
      <c r="I7" s="3"/>
    </row>
    <row r="8" ht="27" customHeight="1">
      <c r="A8" s="3"/>
      <c r="B8" s="58" t="str">
        <v>1</v>
      </c>
      <c r="C8" s="44" t="n">
        <v>9131</v>
      </c>
      <c r="D8" s="44" t="n">
        <v>9131</v>
      </c>
      <c r="E8" s="74" t="n">
        <v>515892505702139</v>
      </c>
      <c r="F8" s="48" t="n">
        <v>65.7285</v>
      </c>
      <c r="G8" s="48" t="n">
        <v>25.1931</v>
      </c>
      <c r="H8" s="48" t="n">
        <v>19.0487</v>
      </c>
      <c r="I8" s="3"/>
    </row>
    <row r="9" ht="27" customHeight="1">
      <c r="A9" s="3"/>
      <c r="B9" s="59" t="str">
        <v>2</v>
      </c>
      <c r="C9" s="45" t="n">
        <v>2057</v>
      </c>
      <c r="D9" s="45" t="n">
        <v>4114</v>
      </c>
      <c r="E9" s="73" t="n">
        <v>205934043045549</v>
      </c>
      <c r="F9" s="49" t="n">
        <v>14.8071</v>
      </c>
      <c r="G9" s="49" t="n">
        <v>11.3508</v>
      </c>
      <c r="H9" s="49" t="n">
        <v>7.6039</v>
      </c>
      <c r="I9" s="3"/>
    </row>
    <row r="10" ht="27" customHeight="1">
      <c r="A10" s="3"/>
      <c r="B10" s="58" t="str">
        <v>3–4</v>
      </c>
      <c r="C10" s="44" t="n">
        <v>1312</v>
      </c>
      <c r="D10" s="44" t="n">
        <v>4408</v>
      </c>
      <c r="E10" s="74" t="n">
        <v>258197321462806.03</v>
      </c>
      <c r="F10" s="48" t="n">
        <v>9.4443</v>
      </c>
      <c r="G10" s="48" t="n">
        <v>12.162</v>
      </c>
      <c r="H10" s="48" t="n">
        <v>9.5336</v>
      </c>
      <c r="I10" s="3"/>
    </row>
    <row r="11" ht="27" customHeight="1">
      <c r="A11" s="3"/>
      <c r="B11" s="59" t="str">
        <v>5–9</v>
      </c>
      <c r="C11" s="45" t="n">
        <v>803</v>
      </c>
      <c r="D11" s="45" t="n">
        <v>5122</v>
      </c>
      <c r="E11" s="73" t="n">
        <v>372854578630434</v>
      </c>
      <c r="F11" s="49" t="n">
        <v>5.7803</v>
      </c>
      <c r="G11" s="49" t="n">
        <v>14.132</v>
      </c>
      <c r="H11" s="49" t="n">
        <v>13.7672</v>
      </c>
      <c r="I11" s="3"/>
    </row>
    <row r="12" ht="27" customHeight="1">
      <c r="A12" s="3"/>
      <c r="B12" s="58" t="str">
        <v>10–19</v>
      </c>
      <c r="C12" s="44" t="n">
        <v>363</v>
      </c>
      <c r="D12" s="44" t="n">
        <v>4788</v>
      </c>
      <c r="E12" s="74" t="n">
        <v>460408391849435</v>
      </c>
      <c r="F12" s="48" t="n">
        <v>2.613</v>
      </c>
      <c r="G12" s="48" t="n">
        <v>13.2105</v>
      </c>
      <c r="H12" s="48" t="n">
        <v>17</v>
      </c>
      <c r="I12" s="3"/>
    </row>
    <row r="13" ht="27" customHeight="1">
      <c r="A13" s="3"/>
      <c r="B13" s="59" t="str">
        <v>20–49</v>
      </c>
      <c r="C13" s="45" t="n">
        <v>187</v>
      </c>
      <c r="D13" s="45" t="n">
        <v>5685</v>
      </c>
      <c r="E13" s="73" t="n">
        <v>537423568018279</v>
      </c>
      <c r="F13" s="49" t="n">
        <v>1.3461</v>
      </c>
      <c r="G13" s="49" t="n">
        <v>15.6854</v>
      </c>
      <c r="H13" s="49" t="n">
        <v>19.8437</v>
      </c>
      <c r="I13" s="3"/>
    </row>
    <row r="14" ht="27" customHeight="1">
      <c r="A14" s="3"/>
      <c r="B14" s="76" t="str">
        <v>≥50</v>
      </c>
      <c r="C14" s="51" t="n">
        <v>39</v>
      </c>
      <c r="D14" s="51" t="n">
        <v>2996</v>
      </c>
      <c r="E14" s="77" t="n">
        <v>357572830235754</v>
      </c>
      <c r="F14" s="52" t="n">
        <v>0.2807</v>
      </c>
      <c r="G14" s="52" t="n">
        <v>8.2662</v>
      </c>
      <c r="H14" s="52" t="n">
        <v>13.2029</v>
      </c>
      <c r="I14" s="3"/>
    </row>
    <row r="15" ht="23" customHeight="1">
      <c r="A15" s="3"/>
      <c r="B15" s="3"/>
      <c r="C15" s="3"/>
      <c r="D15" s="3"/>
      <c r="E15" s="3"/>
      <c r="F15" s="3"/>
      <c r="G15" s="3"/>
      <c r="H15" s="3"/>
      <c r="I15" s="3"/>
    </row>
    <row r="16" ht="23" customHeight="1">
      <c r="A16" s="3"/>
      <c r="B16" s="3"/>
      <c r="C16" s="3"/>
      <c r="D16" s="3"/>
      <c r="E16" s="3"/>
      <c r="F16" s="3"/>
      <c r="G16" s="3"/>
      <c r="H16" s="3"/>
      <c r="I16" s="3"/>
    </row>
    <row r="17" ht="23" customHeight="1">
      <c r="A17" s="3"/>
      <c r="B17" s="53" t="str">
        <v>Table scope</v>
      </c>
      <c r="C17" s="5"/>
      <c r="D17" s="5"/>
      <c r="E17" s="5"/>
      <c r="F17" s="3"/>
      <c r="G17" s="3"/>
      <c r="H17" s="3"/>
      <c r="I17" s="3"/>
    </row>
    <row r="18" ht="42" customHeight="1">
      <c r="A18" s="3"/>
      <c r="B18" s="12" t="str">
        <v>Datasets, groups and bytes by group size class (Supplementary Fig. 1)</v>
      </c>
      <c r="C18" s="12"/>
      <c r="D18" s="12"/>
      <c r="E18" s="12"/>
      <c r="F18" s="3"/>
      <c r="G18" s="3"/>
      <c r="H18" s="3"/>
      <c r="I18" s="3"/>
    </row>
    <row r="19" ht="23" customHeight="1">
      <c r="A19" s="3"/>
      <c r="B19" s="3"/>
      <c r="C19" s="3"/>
      <c r="D19" s="3"/>
      <c r="E19" s="3"/>
      <c r="F19" s="3"/>
      <c r="G19" s="3"/>
      <c r="H19" s="3"/>
      <c r="I19" s="3"/>
    </row>
    <row r="20" ht="23" customHeight="1">
      <c r="A20" s="3"/>
      <c r="B20" s="53" t="str">
        <v>Source</v>
      </c>
      <c r="C20" s="5"/>
      <c r="D20" s="5"/>
      <c r="E20" s="5"/>
      <c r="F20" s="3"/>
      <c r="G20" s="3"/>
      <c r="H20" s="3"/>
      <c r="I20" s="3"/>
    </row>
    <row r="21" ht="27" customHeight="1">
      <c r="A21" s="3"/>
      <c r="B21" s="12" t="str">
        <v>Gallery/data/34-contributor-concentration-classes.csv</v>
      </c>
      <c r="C21" s="12"/>
      <c r="D21" s="12"/>
      <c r="E21" s="12"/>
      <c r="F21" s="3"/>
      <c r="G21" s="3"/>
      <c r="H21" s="3"/>
      <c r="I21" s="3"/>
    </row>
    <row r="22" ht="23" customHeight="1">
      <c r="A22" s="3"/>
      <c r="B22" s="3"/>
      <c r="C22" s="3"/>
      <c r="D22" s="3"/>
      <c r="E22" s="3"/>
      <c r="F22" s="3"/>
      <c r="G22" s="3"/>
      <c r="H22" s="3"/>
      <c r="I22" s="3"/>
    </row>
    <row r="23" ht="23" customHeight="1">
      <c r="A23" s="3"/>
      <c r="B23" s="53" t="str">
        <v>Original column names</v>
      </c>
      <c r="C23" s="5"/>
      <c r="D23" s="5"/>
      <c r="E23" s="5"/>
      <c r="F23" s="3"/>
      <c r="G23" s="3"/>
      <c r="H23" s="3"/>
      <c r="I23" s="3"/>
    </row>
    <row r="24" ht="42" customHeight="1">
      <c r="A24" s="3"/>
      <c r="B24" s="12" t="str">
        <v>datasets_per_group, groups, datasets, bytes, groups_pct, datasets_pct, bytes_pct</v>
      </c>
      <c r="C24" s="12"/>
      <c r="D24" s="12"/>
      <c r="E24" s="12"/>
      <c r="F24" s="3"/>
      <c r="G24" s="3"/>
      <c r="H24" s="3"/>
      <c r="I24" s="3"/>
    </row>
    <row r="25" ht="23" customHeight="1">
      <c r="A25" s="3"/>
      <c r="B25" s="3"/>
      <c r="C25" s="3"/>
      <c r="D25" s="3"/>
      <c r="E25" s="3"/>
      <c r="F25" s="3"/>
      <c r="G25" s="3"/>
      <c r="H25" s="3"/>
      <c r="I25" s="3"/>
    </row>
    <row r="26" ht="23" customHeight="1">
      <c r="A26" s="3"/>
      <c r="B26" s="3"/>
      <c r="C26" s="3"/>
      <c r="D26" s="3"/>
      <c r="E26" s="3"/>
      <c r="F26" s="3"/>
      <c r="G26" s="3"/>
      <c r="H26" s="3"/>
      <c r="I26" s="3"/>
    </row>
    <row r="27" ht="23" customHeight="1">
      <c r="A27" s="3"/>
      <c r="B27" s="3"/>
      <c r="C27" s="3"/>
      <c r="D27" s="3"/>
      <c r="E27" s="3"/>
      <c r="F27" s="3"/>
      <c r="G27" s="3"/>
      <c r="H27" s="3"/>
      <c r="I27" s="3"/>
    </row>
    <row r="28" ht="23" customHeight="1">
      <c r="A28" s="3"/>
      <c r="B28" s="3"/>
      <c r="C28" s="3"/>
      <c r="D28" s="3"/>
      <c r="E28" s="3"/>
      <c r="F28" s="3"/>
      <c r="G28" s="3"/>
      <c r="H28" s="3"/>
      <c r="I28" s="3"/>
    </row>
    <row r="29" ht="23" customHeight="1">
      <c r="A29" s="3"/>
      <c r="B29" s="3"/>
      <c r="C29" s="3"/>
      <c r="D29" s="3"/>
      <c r="E29" s="3"/>
      <c r="F29" s="3"/>
      <c r="G29" s="3"/>
      <c r="H29" s="3"/>
      <c r="I29" s="3"/>
    </row>
    <row r="30" ht="23" customHeight="1">
      <c r="A30" s="3"/>
      <c r="B30" s="3"/>
      <c r="C30" s="3"/>
      <c r="D30" s="3"/>
      <c r="E30" s="3"/>
      <c r="F30" s="3"/>
      <c r="G30" s="3"/>
      <c r="H30" s="3"/>
      <c r="I30" s="3"/>
    </row>
    <row r="31" ht="23" customHeight="1">
      <c r="A31" s="3"/>
      <c r="B31" s="3"/>
      <c r="C31" s="3"/>
      <c r="D31" s="3"/>
      <c r="E31" s="3"/>
      <c r="F31" s="3"/>
      <c r="G31" s="3"/>
      <c r="H31" s="3"/>
      <c r="I31" s="3"/>
    </row>
    <row r="32" ht="23" customHeight="1">
      <c r="A32" s="3"/>
      <c r="B32" s="3"/>
      <c r="C32" s="3"/>
      <c r="D32" s="3"/>
      <c r="E32" s="3"/>
      <c r="F32" s="3"/>
      <c r="G32" s="3"/>
      <c r="H32" s="3"/>
      <c r="I32" s="3"/>
    </row>
    <row r="33" ht="23" customHeight="1">
      <c r="A33" s="3"/>
      <c r="B33" s="3"/>
      <c r="C33" s="3"/>
      <c r="D33" s="3"/>
      <c r="E33" s="3"/>
      <c r="F33" s="3"/>
      <c r="G33" s="3"/>
      <c r="H33" s="3"/>
      <c r="I33" s="3"/>
    </row>
    <row r="34" ht="23" customHeight="1">
      <c r="A34" s="3"/>
      <c r="B34" s="3"/>
      <c r="C34" s="3"/>
      <c r="D34" s="3"/>
      <c r="E34" s="3"/>
      <c r="F34" s="3"/>
      <c r="G34" s="3"/>
      <c r="H34" s="3"/>
      <c r="I34" s="3"/>
    </row>
    <row r="35" ht="23" customHeight="1">
      <c r="A35" s="3"/>
      <c r="B35" s="3"/>
      <c r="C35" s="3"/>
      <c r="D35" s="3"/>
      <c r="E35" s="3"/>
      <c r="F35" s="3"/>
      <c r="G35" s="3"/>
      <c r="H35" s="3"/>
      <c r="I35" s="3"/>
    </row>
    <row r="36" ht="23" customHeight="1">
      <c r="A36" s="3"/>
      <c r="B36" s="3"/>
      <c r="C36" s="3"/>
      <c r="D36" s="3"/>
      <c r="E36" s="3"/>
      <c r="F36" s="3"/>
      <c r="G36" s="3"/>
      <c r="H36" s="3"/>
      <c r="I36" s="3"/>
    </row>
    <row r="37" ht="23" customHeight="1">
      <c r="A37" s="3"/>
      <c r="B37" s="3"/>
      <c r="C37" s="3"/>
      <c r="D37" s="3"/>
      <c r="E37" s="3"/>
      <c r="F37" s="3"/>
      <c r="G37" s="3"/>
      <c r="H37" s="3"/>
      <c r="I37" s="3"/>
    </row>
    <row r="38" ht="23" customHeight="1">
      <c r="A38" s="3"/>
      <c r="B38" s="3"/>
      <c r="C38" s="3"/>
      <c r="D38" s="3"/>
      <c r="E38" s="3"/>
      <c r="F38" s="3"/>
      <c r="G38" s="3"/>
      <c r="H38" s="3"/>
      <c r="I38" s="3"/>
    </row>
    <row r="39" ht="23" customHeight="1">
      <c r="A39" s="3"/>
      <c r="B39" s="3"/>
      <c r="C39" s="3"/>
      <c r="D39" s="3"/>
      <c r="E39" s="3"/>
      <c r="F39" s="3"/>
      <c r="G39" s="3"/>
      <c r="H39" s="3"/>
      <c r="I39" s="3"/>
    </row>
  </sheetData>
  <mergeCells>
    <mergeCell ref="B2:E2"/>
    <mergeCell ref="B3:E3"/>
    <mergeCell ref="B4:E4"/>
    <mergeCell ref="B17:E17"/>
    <mergeCell ref="B18:E18"/>
    <mergeCell ref="B20:E20"/>
    <mergeCell ref="B21:E21"/>
    <mergeCell ref="B23:E23"/>
    <mergeCell ref="B24:E24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9" orientation="landscape" scale="90" useFirstPageNumber="0"/>
  <headerFooter>
    <oddFooter>&amp;LPRIDE supplementary tables&amp;CS5&amp;RPage &amp;P of &amp;N</oddFooter>
  </headerFooter>
  <tableParts count="1">
    <tablePart ns1:id="R371660ae7aae4d55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2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23" customHeight="1">
      <c r="A2" s="3"/>
      <c r="B2" s="5" t="str">
        <v>SUPPLEMENTARY TABLE S6</v>
      </c>
      <c r="C2" s="5"/>
      <c r="D2" s="5"/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30" customHeight="1">
      <c r="A3" s="3"/>
      <c r="B3" s="7" t="str">
        <v>Country comparisons</v>
      </c>
      <c r="C3" s="7"/>
      <c r="D3" s="7"/>
      <c r="E3" s="7"/>
      <c r="F3" s="7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29" customHeight="1">
      <c r="A4" s="3"/>
      <c r="B4" s="12" t="str">
        <v>Growth, international co-authorship and measurement age use distinct eligible subsets.</v>
      </c>
      <c r="C4" s="12"/>
      <c r="D4" s="12"/>
      <c r="E4" s="12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23" customHeight="1">
      <c r="A5" s="3"/>
      <c r="B5" s="28"/>
      <c r="C5" s="28"/>
      <c r="D5" s="28"/>
      <c r="E5" s="28"/>
      <c r="F5" s="28"/>
      <c r="G5" s="2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ht="54" customHeight="1">
      <c r="A7" s="3"/>
      <c r="B7" s="35" t="str">
        <v>Country</v>
      </c>
      <c r="C7" s="36" t="str">
        <v>Continent</v>
      </c>
      <c r="D7" s="36" t="str">
        <v>Datasets, 2016–2018</v>
      </c>
      <c r="E7" s="36" t="str">
        <v>Datasets, 2023–2025</v>
      </c>
      <c r="F7" s="36" t="str">
        <v>Additional datasets</v>
      </c>
      <c r="G7" s="36" t="str">
        <v>Growth ratio</v>
      </c>
      <c r="H7" s="36" t="str">
        <v>Growth, lower 95%</v>
      </c>
      <c r="I7" s="36" t="str">
        <v>Growth, upper 95%</v>
      </c>
      <c r="J7" s="36" t="str">
        <v>Linked papers</v>
      </c>
      <c r="K7" s="36" t="str">
        <v>International papers (%)</v>
      </c>
      <c r="L7" s="36" t="str">
        <v>International, lower 95%</v>
      </c>
      <c r="M7" s="36" t="str">
        <v>International, upper 95%</v>
      </c>
      <c r="N7" s="36" t="str">
        <v>Dated datasets</v>
      </c>
      <c r="O7" s="36" t="str">
        <v>Median age (days)</v>
      </c>
      <c r="P7" s="36" t="str">
        <v>Age, lower 95% (days)</v>
      </c>
      <c r="Q7" s="36" t="str">
        <v>Age, upper 95% (days)</v>
      </c>
      <c r="R7" s="37" t="str">
        <v>Dated raw files (%)</v>
      </c>
      <c r="S7" s="3"/>
    </row>
    <row r="8" ht="39" customHeight="1">
      <c r="A8" s="3"/>
      <c r="B8" s="58" t="str">
        <v>United States</v>
      </c>
      <c r="C8" s="58" t="str">
        <v>North America</v>
      </c>
      <c r="D8" s="44" t="n">
        <v>629</v>
      </c>
      <c r="E8" s="44" t="n">
        <v>2231</v>
      </c>
      <c r="F8" s="44" t="n">
        <v>1602</v>
      </c>
      <c r="G8" s="62" t="n">
        <v>3.5469</v>
      </c>
      <c r="H8" s="64" t="n">
        <v>2.9972</v>
      </c>
      <c r="I8" s="64" t="n">
        <v>4.1792</v>
      </c>
      <c r="J8" s="44" t="n">
        <v>3209</v>
      </c>
      <c r="K8" s="80" t="n">
        <v>0.321</v>
      </c>
      <c r="L8" s="82" t="n">
        <v>0.2925</v>
      </c>
      <c r="M8" s="82" t="n">
        <v>0.3541</v>
      </c>
      <c r="N8" s="44" t="n">
        <v>1542</v>
      </c>
      <c r="O8" s="62" t="n">
        <v>489.5</v>
      </c>
      <c r="P8" s="84" t="n">
        <v>425</v>
      </c>
      <c r="Q8" s="64" t="n">
        <v>547</v>
      </c>
      <c r="R8" s="80" t="n">
        <v>0.372</v>
      </c>
      <c r="S8" s="3"/>
    </row>
    <row r="9" ht="27" customHeight="1">
      <c r="A9" s="3"/>
      <c r="B9" s="59" t="str">
        <v>Germany</v>
      </c>
      <c r="C9" s="59" t="str">
        <v>Europe</v>
      </c>
      <c r="D9" s="45" t="n">
        <v>662</v>
      </c>
      <c r="E9" s="45" t="n">
        <v>1834</v>
      </c>
      <c r="F9" s="45" t="n">
        <v>1172</v>
      </c>
      <c r="G9" s="63" t="n">
        <v>2.7704</v>
      </c>
      <c r="H9" s="65" t="n">
        <v>2.2482</v>
      </c>
      <c r="I9" s="65" t="n">
        <v>3.4985</v>
      </c>
      <c r="J9" s="45" t="n">
        <v>2748</v>
      </c>
      <c r="K9" s="81" t="n">
        <v>0.5546</v>
      </c>
      <c r="L9" s="83" t="n">
        <v>0.5243</v>
      </c>
      <c r="M9" s="83" t="n">
        <v>0.5861</v>
      </c>
      <c r="N9" s="45" t="n">
        <v>1374</v>
      </c>
      <c r="O9" s="63" t="n">
        <v>448</v>
      </c>
      <c r="P9" s="85" t="n">
        <v>405</v>
      </c>
      <c r="Q9" s="65" t="n">
        <v>503</v>
      </c>
      <c r="R9" s="81" t="n">
        <v>0.391</v>
      </c>
      <c r="S9" s="3"/>
    </row>
    <row r="10" ht="27" customHeight="1">
      <c r="A10" s="3"/>
      <c r="B10" s="58" t="str">
        <v>China</v>
      </c>
      <c r="C10" s="58" t="str">
        <v>Asia</v>
      </c>
      <c r="D10" s="44" t="n">
        <v>302</v>
      </c>
      <c r="E10" s="44" t="n">
        <v>1585</v>
      </c>
      <c r="F10" s="44" t="n">
        <v>1283</v>
      </c>
      <c r="G10" s="62" t="n">
        <v>5.2483</v>
      </c>
      <c r="H10" s="64" t="n">
        <v>4.3975</v>
      </c>
      <c r="I10" s="64" t="n">
        <v>6.3208</v>
      </c>
      <c r="J10" s="44" t="n">
        <v>1925</v>
      </c>
      <c r="K10" s="80" t="n">
        <v>0.2104</v>
      </c>
      <c r="L10" s="82" t="n">
        <v>0.1884</v>
      </c>
      <c r="M10" s="82" t="n">
        <v>0.2317</v>
      </c>
      <c r="N10" s="44" t="n">
        <v>373</v>
      </c>
      <c r="O10" s="62" t="n">
        <v>454</v>
      </c>
      <c r="P10" s="84" t="n">
        <v>397</v>
      </c>
      <c r="Q10" s="64" t="n">
        <v>556</v>
      </c>
      <c r="R10" s="80" t="n">
        <v>0.149</v>
      </c>
      <c r="S10" s="3"/>
    </row>
    <row r="11" ht="27" customHeight="1">
      <c r="A11" s="3"/>
      <c r="B11" s="59" t="str">
        <v>United Kingdom</v>
      </c>
      <c r="C11" s="59" t="str">
        <v>Europe</v>
      </c>
      <c r="D11" s="45" t="n">
        <v>332</v>
      </c>
      <c r="E11" s="45" t="n">
        <v>777</v>
      </c>
      <c r="F11" s="45" t="n">
        <v>445</v>
      </c>
      <c r="G11" s="63" t="n">
        <v>2.3404</v>
      </c>
      <c r="H11" s="65" t="n">
        <v>1.8753</v>
      </c>
      <c r="I11" s="65" t="n">
        <v>2.9928</v>
      </c>
      <c r="J11" s="45" t="n">
        <v>1238</v>
      </c>
      <c r="K11" s="81" t="n">
        <v>0.6074</v>
      </c>
      <c r="L11" s="83" t="n">
        <v>0.5696</v>
      </c>
      <c r="M11" s="83" t="n">
        <v>0.6409</v>
      </c>
      <c r="N11" s="45" t="n">
        <v>556</v>
      </c>
      <c r="O11" s="63" t="n">
        <v>612.5</v>
      </c>
      <c r="P11" s="85" t="n">
        <v>544</v>
      </c>
      <c r="Q11" s="65" t="n">
        <v>689</v>
      </c>
      <c r="R11" s="81" t="n">
        <v>0.349</v>
      </c>
      <c r="S11" s="3"/>
    </row>
    <row r="12" ht="27" customHeight="1">
      <c r="A12" s="3"/>
      <c r="B12" s="58" t="str">
        <v>France</v>
      </c>
      <c r="C12" s="58" t="str">
        <v>Europe</v>
      </c>
      <c r="D12" s="44" t="n">
        <v>179</v>
      </c>
      <c r="E12" s="44" t="n">
        <v>549</v>
      </c>
      <c r="F12" s="44" t="n">
        <v>370</v>
      </c>
      <c r="G12" s="62" t="n">
        <v>3.067</v>
      </c>
      <c r="H12" s="64" t="n">
        <v>2.199</v>
      </c>
      <c r="I12" s="64" t="n">
        <v>4.1229</v>
      </c>
      <c r="J12" s="44" t="n">
        <v>891</v>
      </c>
      <c r="K12" s="80" t="n">
        <v>0.4736</v>
      </c>
      <c r="L12" s="82" t="n">
        <v>0.4311</v>
      </c>
      <c r="M12" s="82" t="n">
        <v>0.5182</v>
      </c>
      <c r="N12" s="44" t="n">
        <v>260</v>
      </c>
      <c r="O12" s="62" t="n">
        <v>650.5</v>
      </c>
      <c r="P12" s="84" t="n">
        <v>522</v>
      </c>
      <c r="Q12" s="64" t="n">
        <v>756</v>
      </c>
      <c r="R12" s="80" t="n">
        <v>0.244</v>
      </c>
      <c r="S12" s="3"/>
    </row>
    <row r="13" ht="27" customHeight="1">
      <c r="A13" s="3"/>
      <c r="B13" s="59" t="str">
        <v>Australia</v>
      </c>
      <c r="C13" s="59" t="str">
        <v>Oceania</v>
      </c>
      <c r="D13" s="45" t="n">
        <v>129</v>
      </c>
      <c r="E13" s="45" t="n">
        <v>486</v>
      </c>
      <c r="F13" s="45" t="n">
        <v>357</v>
      </c>
      <c r="G13" s="63" t="n">
        <v>3.7674</v>
      </c>
      <c r="H13" s="65" t="n">
        <v>2.6861</v>
      </c>
      <c r="I13" s="65" t="n">
        <v>5.4755</v>
      </c>
      <c r="J13" s="45" t="n">
        <v>672</v>
      </c>
      <c r="K13" s="81" t="n">
        <v>0.4926</v>
      </c>
      <c r="L13" s="83" t="n">
        <v>0.4412</v>
      </c>
      <c r="M13" s="83" t="n">
        <v>0.5472</v>
      </c>
      <c r="N13" s="45" t="n">
        <v>324</v>
      </c>
      <c r="O13" s="63" t="n">
        <v>443.5</v>
      </c>
      <c r="P13" s="85" t="n">
        <v>376</v>
      </c>
      <c r="Q13" s="65" t="n">
        <v>538.05</v>
      </c>
      <c r="R13" s="81" t="n">
        <v>0.483</v>
      </c>
      <c r="S13" s="3"/>
    </row>
    <row r="14" ht="27" customHeight="1">
      <c r="A14" s="3"/>
      <c r="B14" s="58" t="str">
        <v>Netherlands</v>
      </c>
      <c r="C14" s="58" t="str">
        <v>Europe</v>
      </c>
      <c r="D14" s="44" t="n">
        <v>140</v>
      </c>
      <c r="E14" s="44" t="n">
        <v>379</v>
      </c>
      <c r="F14" s="44" t="n">
        <v>239</v>
      </c>
      <c r="G14" s="62" t="n">
        <v>2.7071</v>
      </c>
      <c r="H14" s="64" t="n">
        <v>1.7194</v>
      </c>
      <c r="I14" s="64" t="n">
        <v>4.505</v>
      </c>
      <c r="J14" s="44" t="n">
        <v>650</v>
      </c>
      <c r="K14" s="80" t="n">
        <v>0.5262</v>
      </c>
      <c r="L14" s="82" t="n">
        <v>0.4735</v>
      </c>
      <c r="M14" s="82" t="n">
        <v>0.5765</v>
      </c>
      <c r="N14" s="44" t="n">
        <v>354</v>
      </c>
      <c r="O14" s="62" t="n">
        <v>478.5</v>
      </c>
      <c r="P14" s="84" t="n">
        <v>372</v>
      </c>
      <c r="Q14" s="64" t="n">
        <v>595</v>
      </c>
      <c r="R14" s="80" t="n">
        <v>0.498</v>
      </c>
      <c r="S14" s="3"/>
    </row>
    <row r="15" ht="27" customHeight="1">
      <c r="A15" s="3"/>
      <c r="B15" s="59" t="str">
        <v>Spain</v>
      </c>
      <c r="C15" s="59" t="str">
        <v>Europe</v>
      </c>
      <c r="D15" s="45" t="n">
        <v>94</v>
      </c>
      <c r="E15" s="45" t="n">
        <v>360</v>
      </c>
      <c r="F15" s="45" t="n">
        <v>266</v>
      </c>
      <c r="G15" s="63" t="n">
        <v>3.8298</v>
      </c>
      <c r="H15" s="65" t="n">
        <v>2.4713</v>
      </c>
      <c r="I15" s="65" t="n">
        <v>5.8612</v>
      </c>
      <c r="J15" s="45" t="n">
        <v>562</v>
      </c>
      <c r="K15" s="81" t="n">
        <v>0.5285</v>
      </c>
      <c r="L15" s="83" t="n">
        <v>0.4779</v>
      </c>
      <c r="M15" s="83" t="n">
        <v>0.579</v>
      </c>
      <c r="N15" s="45" t="n">
        <v>132</v>
      </c>
      <c r="O15" s="63" t="n">
        <v>730.5</v>
      </c>
      <c r="P15" s="85" t="n">
        <v>638</v>
      </c>
      <c r="Q15" s="65" t="n">
        <v>848</v>
      </c>
      <c r="R15" s="81" t="n">
        <v>0.287</v>
      </c>
      <c r="S15" s="3"/>
    </row>
    <row r="16" ht="27" customHeight="1">
      <c r="A16" s="3"/>
      <c r="B16" s="58" t="str">
        <v>Switzerland</v>
      </c>
      <c r="C16" s="58" t="str">
        <v>Europe</v>
      </c>
      <c r="D16" s="44" t="n">
        <v>122</v>
      </c>
      <c r="E16" s="44" t="n">
        <v>355</v>
      </c>
      <c r="F16" s="44" t="n">
        <v>233</v>
      </c>
      <c r="G16" s="62" t="n">
        <v>2.9098</v>
      </c>
      <c r="H16" s="64" t="n">
        <v>1.9831</v>
      </c>
      <c r="I16" s="64" t="n">
        <v>4.5744</v>
      </c>
      <c r="J16" s="44" t="n">
        <v>487</v>
      </c>
      <c r="K16" s="80" t="n">
        <v>0.5667</v>
      </c>
      <c r="L16" s="82" t="n">
        <v>0.4988</v>
      </c>
      <c r="M16" s="82" t="n">
        <v>0.6325</v>
      </c>
      <c r="N16" s="44" t="n">
        <v>301</v>
      </c>
      <c r="O16" s="62" t="n">
        <v>428</v>
      </c>
      <c r="P16" s="84" t="n">
        <v>369</v>
      </c>
      <c r="Q16" s="64" t="n">
        <v>508</v>
      </c>
      <c r="R16" s="80" t="n">
        <v>0.515</v>
      </c>
      <c r="S16" s="3"/>
    </row>
    <row r="17" ht="39" customHeight="1">
      <c r="A17" s="3"/>
      <c r="B17" s="59" t="str">
        <v>Canada</v>
      </c>
      <c r="C17" s="59" t="str">
        <v>North America</v>
      </c>
      <c r="D17" s="45" t="n">
        <v>111</v>
      </c>
      <c r="E17" s="45" t="n">
        <v>336</v>
      </c>
      <c r="F17" s="45" t="n">
        <v>225</v>
      </c>
      <c r="G17" s="63" t="n">
        <v>3.027</v>
      </c>
      <c r="H17" s="65" t="n">
        <v>1.9925</v>
      </c>
      <c r="I17" s="65" t="n">
        <v>4.7151</v>
      </c>
      <c r="J17" s="45" t="n">
        <v>502</v>
      </c>
      <c r="K17" s="81" t="n">
        <v>0.4801</v>
      </c>
      <c r="L17" s="83" t="n">
        <v>0.4198</v>
      </c>
      <c r="M17" s="83" t="n">
        <v>0.5443</v>
      </c>
      <c r="N17" s="45" t="n">
        <v>165</v>
      </c>
      <c r="O17" s="63" t="n">
        <v>535</v>
      </c>
      <c r="P17" s="85" t="n">
        <v>437</v>
      </c>
      <c r="Q17" s="65" t="n">
        <v>727</v>
      </c>
      <c r="R17" s="81" t="n">
        <v>0.298</v>
      </c>
      <c r="S17" s="3"/>
    </row>
    <row r="18" ht="27" customHeight="1">
      <c r="A18" s="3"/>
      <c r="B18" s="58" t="str">
        <v>Italy</v>
      </c>
      <c r="C18" s="58" t="str">
        <v>Europe</v>
      </c>
      <c r="D18" s="44" t="n">
        <v>55</v>
      </c>
      <c r="E18" s="44" t="n">
        <v>293</v>
      </c>
      <c r="F18" s="44" t="n">
        <v>238</v>
      </c>
      <c r="G18" s="62" t="n">
        <v>5.3273</v>
      </c>
      <c r="H18" s="64" t="n">
        <v>3.4667</v>
      </c>
      <c r="I18" s="64" t="n">
        <v>8.2806</v>
      </c>
      <c r="J18" s="44" t="n">
        <v>456</v>
      </c>
      <c r="K18" s="80" t="n">
        <v>0.4671</v>
      </c>
      <c r="L18" s="82" t="n">
        <v>0.4084</v>
      </c>
      <c r="M18" s="82" t="n">
        <v>0.536</v>
      </c>
      <c r="N18" s="44" t="n">
        <v>141</v>
      </c>
      <c r="O18" s="62" t="n">
        <v>458</v>
      </c>
      <c r="P18" s="84" t="n">
        <v>347</v>
      </c>
      <c r="Q18" s="64" t="n">
        <v>533</v>
      </c>
      <c r="R18" s="80" t="n">
        <v>0.302</v>
      </c>
      <c r="S18" s="3"/>
    </row>
    <row r="19" ht="27" customHeight="1">
      <c r="A19" s="3"/>
      <c r="B19" s="59" t="str">
        <v>Denmark</v>
      </c>
      <c r="C19" s="59" t="str">
        <v>Europe</v>
      </c>
      <c r="D19" s="45" t="n">
        <v>111</v>
      </c>
      <c r="E19" s="45" t="n">
        <v>286</v>
      </c>
      <c r="F19" s="45" t="n">
        <v>175</v>
      </c>
      <c r="G19" s="63" t="n">
        <v>2.5766</v>
      </c>
      <c r="H19" s="65" t="n">
        <v>1.8306</v>
      </c>
      <c r="I19" s="65" t="n">
        <v>3.9143</v>
      </c>
      <c r="J19" s="45" t="n">
        <v>475</v>
      </c>
      <c r="K19" s="81" t="n">
        <v>0.6379</v>
      </c>
      <c r="L19" s="83" t="n">
        <v>0.582</v>
      </c>
      <c r="M19" s="83" t="n">
        <v>0.6985</v>
      </c>
      <c r="N19" s="45" t="n">
        <v>260</v>
      </c>
      <c r="O19" s="63" t="n">
        <v>412</v>
      </c>
      <c r="P19" s="85" t="n">
        <v>323</v>
      </c>
      <c r="Q19" s="65" t="n">
        <v>536</v>
      </c>
      <c r="R19" s="81" t="n">
        <v>0.52</v>
      </c>
      <c r="S19" s="3"/>
    </row>
    <row r="20" ht="27" customHeight="1">
      <c r="A20" s="3"/>
      <c r="B20" s="58" t="str">
        <v>Sweden</v>
      </c>
      <c r="C20" s="58" t="str">
        <v>Europe</v>
      </c>
      <c r="D20" s="44" t="n">
        <v>75</v>
      </c>
      <c r="E20" s="44" t="n">
        <v>281</v>
      </c>
      <c r="F20" s="44" t="n">
        <v>206</v>
      </c>
      <c r="G20" s="62" t="n">
        <v>3.7467</v>
      </c>
      <c r="H20" s="64" t="n">
        <v>2.7442</v>
      </c>
      <c r="I20" s="64" t="n">
        <v>5.4185</v>
      </c>
      <c r="J20" s="44" t="n">
        <v>425</v>
      </c>
      <c r="K20" s="80" t="n">
        <v>0.6918</v>
      </c>
      <c r="L20" s="82" t="n">
        <v>0.6363</v>
      </c>
      <c r="M20" s="82" t="n">
        <v>0.7466</v>
      </c>
      <c r="N20" s="44" t="n">
        <v>249</v>
      </c>
      <c r="O20" s="62" t="n">
        <v>585</v>
      </c>
      <c r="P20" s="84" t="n">
        <v>490</v>
      </c>
      <c r="Q20" s="64" t="n">
        <v>619</v>
      </c>
      <c r="R20" s="80" t="n">
        <v>0.475</v>
      </c>
      <c r="S20" s="3"/>
    </row>
    <row r="21" ht="27" customHeight="1">
      <c r="A21" s="3"/>
      <c r="B21" s="59" t="str">
        <v>Austria</v>
      </c>
      <c r="C21" s="59" t="str">
        <v>Europe</v>
      </c>
      <c r="D21" s="45" t="n">
        <v>99</v>
      </c>
      <c r="E21" s="45" t="n">
        <v>219</v>
      </c>
      <c r="F21" s="45" t="n">
        <v>120</v>
      </c>
      <c r="G21" s="63" t="n">
        <v>2.2121</v>
      </c>
      <c r="H21" s="65" t="n">
        <v>1.4248</v>
      </c>
      <c r="I21" s="65" t="n">
        <v>4.4887</v>
      </c>
      <c r="J21" s="45" t="n">
        <v>342</v>
      </c>
      <c r="K21" s="81" t="n">
        <v>0.5848</v>
      </c>
      <c r="L21" s="83" t="n">
        <v>0.5291</v>
      </c>
      <c r="M21" s="83" t="n">
        <v>0.6587</v>
      </c>
      <c r="N21" s="45" t="n">
        <v>128</v>
      </c>
      <c r="O21" s="63" t="n">
        <v>448.5</v>
      </c>
      <c r="P21" s="85" t="n">
        <v>315</v>
      </c>
      <c r="Q21" s="65" t="n">
        <v>622</v>
      </c>
      <c r="R21" s="81" t="n">
        <v>0.271</v>
      </c>
      <c r="S21" s="3"/>
    </row>
    <row r="22" ht="27" customHeight="1">
      <c r="A22" s="3"/>
      <c r="B22" s="58" t="str">
        <v>India</v>
      </c>
      <c r="C22" s="58" t="str">
        <v>Asia</v>
      </c>
      <c r="D22" s="44" t="n">
        <v>59</v>
      </c>
      <c r="E22" s="44" t="n">
        <v>209</v>
      </c>
      <c r="F22" s="44" t="n">
        <v>150</v>
      </c>
      <c r="G22" s="62" t="n">
        <v>3.5424</v>
      </c>
      <c r="H22" s="64" t="n">
        <v>2.2468</v>
      </c>
      <c r="I22" s="64" t="n">
        <v>5.954</v>
      </c>
      <c r="J22" s="44" t="n">
        <v>318</v>
      </c>
      <c r="K22" s="80" t="n">
        <v>0.3302</v>
      </c>
      <c r="L22" s="82" t="n">
        <v>0.261</v>
      </c>
      <c r="M22" s="82" t="n">
        <v>0.413</v>
      </c>
      <c r="N22" s="44"/>
      <c r="O22" s="62"/>
      <c r="P22" s="84"/>
      <c r="Q22" s="64"/>
      <c r="R22" s="80"/>
      <c r="S22" s="3"/>
    </row>
    <row r="23" ht="27" customHeight="1">
      <c r="A23" s="3"/>
      <c r="B23" s="59" t="str">
        <v>Czechia</v>
      </c>
      <c r="C23" s="59" t="str">
        <v>Europe</v>
      </c>
      <c r="D23" s="45" t="n">
        <v>19</v>
      </c>
      <c r="E23" s="45" t="n">
        <v>183</v>
      </c>
      <c r="F23" s="45" t="n">
        <v>164</v>
      </c>
      <c r="G23" s="63" t="n">
        <v>9.6316</v>
      </c>
      <c r="H23" s="65" t="n">
        <v>5.6379</v>
      </c>
      <c r="I23" s="65" t="n">
        <v>18.3763</v>
      </c>
      <c r="J23" s="45" t="n">
        <v>251</v>
      </c>
      <c r="K23" s="81" t="n">
        <v>0.5578</v>
      </c>
      <c r="L23" s="83" t="n">
        <v>0.4366</v>
      </c>
      <c r="M23" s="83" t="n">
        <v>0.6422</v>
      </c>
      <c r="N23" s="45"/>
      <c r="O23" s="63"/>
      <c r="P23" s="85"/>
      <c r="Q23" s="65"/>
      <c r="R23" s="81"/>
      <c r="S23" s="3"/>
    </row>
    <row r="24" ht="27" customHeight="1">
      <c r="A24" s="3"/>
      <c r="B24" s="58" t="str">
        <v>South Korea</v>
      </c>
      <c r="C24" s="58" t="str">
        <v>Asia</v>
      </c>
      <c r="D24" s="44" t="n">
        <v>33</v>
      </c>
      <c r="E24" s="44" t="n">
        <v>163</v>
      </c>
      <c r="F24" s="44" t="n">
        <v>130</v>
      </c>
      <c r="G24" s="62" t="n">
        <v>4.9394</v>
      </c>
      <c r="H24" s="64" t="n">
        <v>3.1723</v>
      </c>
      <c r="I24" s="64" t="n">
        <v>9.89</v>
      </c>
      <c r="J24" s="44" t="n">
        <v>255</v>
      </c>
      <c r="K24" s="80" t="n">
        <v>0.3098</v>
      </c>
      <c r="L24" s="82" t="n">
        <v>0.2326</v>
      </c>
      <c r="M24" s="82" t="n">
        <v>0.4064</v>
      </c>
      <c r="N24" s="44" t="n">
        <v>143</v>
      </c>
      <c r="O24" s="62" t="n">
        <v>609</v>
      </c>
      <c r="P24" s="84" t="n">
        <v>452</v>
      </c>
      <c r="Q24" s="64" t="n">
        <v>720</v>
      </c>
      <c r="R24" s="80" t="n">
        <v>0.478</v>
      </c>
      <c r="S24" s="3"/>
    </row>
    <row r="25" ht="27" customHeight="1">
      <c r="A25" s="3"/>
      <c r="B25" s="59" t="str">
        <v>Belgium</v>
      </c>
      <c r="C25" s="59" t="str">
        <v>Europe</v>
      </c>
      <c r="D25" s="45" t="n">
        <v>59</v>
      </c>
      <c r="E25" s="45" t="n">
        <v>155</v>
      </c>
      <c r="F25" s="45" t="n">
        <v>96</v>
      </c>
      <c r="G25" s="63" t="n">
        <v>2.6271</v>
      </c>
      <c r="H25" s="65" t="n">
        <v>1.7777</v>
      </c>
      <c r="I25" s="65" t="n">
        <v>4.0884</v>
      </c>
      <c r="J25" s="45" t="n">
        <v>255</v>
      </c>
      <c r="K25" s="81" t="n">
        <v>0.6431</v>
      </c>
      <c r="L25" s="83" t="n">
        <v>0.5729</v>
      </c>
      <c r="M25" s="83" t="n">
        <v>0.7132</v>
      </c>
      <c r="N25" s="45"/>
      <c r="O25" s="63"/>
      <c r="P25" s="85"/>
      <c r="Q25" s="65"/>
      <c r="R25" s="81"/>
      <c r="S25" s="3"/>
    </row>
    <row r="26" ht="39" customHeight="1">
      <c r="A26" s="3"/>
      <c r="B26" s="58" t="str">
        <v>Brazil</v>
      </c>
      <c r="C26" s="58" t="str">
        <v>South America</v>
      </c>
      <c r="D26" s="44" t="n">
        <v>44</v>
      </c>
      <c r="E26" s="44" t="n">
        <v>150</v>
      </c>
      <c r="F26" s="44" t="n">
        <v>106</v>
      </c>
      <c r="G26" s="62" t="n">
        <v>3.4091</v>
      </c>
      <c r="H26" s="64" t="n">
        <v>2.3541</v>
      </c>
      <c r="I26" s="64" t="n">
        <v>5.2632</v>
      </c>
      <c r="J26" s="44" t="n">
        <v>311</v>
      </c>
      <c r="K26" s="80" t="n">
        <v>0.4341</v>
      </c>
      <c r="L26" s="82" t="n">
        <v>0.3727</v>
      </c>
      <c r="M26" s="82" t="n">
        <v>0.4976</v>
      </c>
      <c r="N26" s="44"/>
      <c r="O26" s="62"/>
      <c r="P26" s="84"/>
      <c r="Q26" s="64"/>
      <c r="R26" s="80"/>
      <c r="S26" s="3"/>
    </row>
    <row r="27" ht="27" customHeight="1">
      <c r="A27" s="3"/>
      <c r="B27" s="59" t="str">
        <v>Israel</v>
      </c>
      <c r="C27" s="59" t="str">
        <v>Asia</v>
      </c>
      <c r="D27" s="45" t="n">
        <v>42</v>
      </c>
      <c r="E27" s="45" t="n">
        <v>137</v>
      </c>
      <c r="F27" s="45" t="n">
        <v>95</v>
      </c>
      <c r="G27" s="63" t="n">
        <v>3.2619</v>
      </c>
      <c r="H27" s="65" t="n">
        <v>1.8675</v>
      </c>
      <c r="I27" s="65" t="n">
        <v>7.0956</v>
      </c>
      <c r="J27" s="45" t="n">
        <v>164</v>
      </c>
      <c r="K27" s="81" t="n">
        <v>0.5122</v>
      </c>
      <c r="L27" s="83" t="n">
        <v>0.4302</v>
      </c>
      <c r="M27" s="83" t="n">
        <v>0.5899</v>
      </c>
      <c r="N27" s="45"/>
      <c r="O27" s="63"/>
      <c r="P27" s="85"/>
      <c r="Q27" s="65"/>
      <c r="R27" s="81"/>
      <c r="S27" s="3"/>
    </row>
    <row r="28" ht="27" customHeight="1">
      <c r="A28" s="3"/>
      <c r="B28" s="58" t="str">
        <v>Poland</v>
      </c>
      <c r="C28" s="58" t="str">
        <v>Europe</v>
      </c>
      <c r="D28" s="44" t="n">
        <v>27</v>
      </c>
      <c r="E28" s="44" t="n">
        <v>129</v>
      </c>
      <c r="F28" s="44" t="n">
        <v>102</v>
      </c>
      <c r="G28" s="62" t="n">
        <v>4.7778</v>
      </c>
      <c r="H28" s="64" t="n">
        <v>2.6483</v>
      </c>
      <c r="I28" s="64" t="n">
        <v>10.2157</v>
      </c>
      <c r="J28" s="44" t="n">
        <v>178</v>
      </c>
      <c r="K28" s="80" t="n">
        <v>0.4663</v>
      </c>
      <c r="L28" s="82" t="n">
        <v>0.3793</v>
      </c>
      <c r="M28" s="82" t="n">
        <v>0.5614</v>
      </c>
      <c r="N28" s="44"/>
      <c r="O28" s="62"/>
      <c r="P28" s="84"/>
      <c r="Q28" s="64"/>
      <c r="R28" s="80"/>
      <c r="S28" s="3"/>
    </row>
    <row r="29" ht="27" customHeight="1">
      <c r="A29" s="3"/>
      <c r="B29" s="59" t="str">
        <v>Norway</v>
      </c>
      <c r="C29" s="59" t="str">
        <v>Europe</v>
      </c>
      <c r="D29" s="45" t="n">
        <v>51</v>
      </c>
      <c r="E29" s="45" t="n">
        <v>117</v>
      </c>
      <c r="F29" s="45" t="n">
        <v>66</v>
      </c>
      <c r="G29" s="63" t="n">
        <v>2.2941</v>
      </c>
      <c r="H29" s="65" t="n">
        <v>1.3606</v>
      </c>
      <c r="I29" s="65" t="n">
        <v>3.8463</v>
      </c>
      <c r="J29" s="45" t="n">
        <v>213</v>
      </c>
      <c r="K29" s="81" t="n">
        <v>0.5352</v>
      </c>
      <c r="L29" s="83" t="n">
        <v>0.4285</v>
      </c>
      <c r="M29" s="83" t="n">
        <v>0.613</v>
      </c>
      <c r="N29" s="45"/>
      <c r="O29" s="63"/>
      <c r="P29" s="85"/>
      <c r="Q29" s="65"/>
      <c r="R29" s="81"/>
      <c r="S29" s="3"/>
    </row>
    <row r="30" ht="27" customHeight="1">
      <c r="A30" s="3"/>
      <c r="B30" s="58" t="str">
        <v>Portugal</v>
      </c>
      <c r="C30" s="58" t="str">
        <v>Europe</v>
      </c>
      <c r="D30" s="44" t="n">
        <v>17</v>
      </c>
      <c r="E30" s="44" t="n">
        <v>79</v>
      </c>
      <c r="F30" s="44" t="n">
        <v>62</v>
      </c>
      <c r="G30" s="62" t="n">
        <v>4.6471</v>
      </c>
      <c r="H30" s="64" t="n">
        <v>2.5833</v>
      </c>
      <c r="I30" s="64" t="n">
        <v>11</v>
      </c>
      <c r="J30" s="44"/>
      <c r="K30" s="80"/>
      <c r="L30" s="82"/>
      <c r="M30" s="82"/>
      <c r="N30" s="44"/>
      <c r="O30" s="62"/>
      <c r="P30" s="84"/>
      <c r="Q30" s="64"/>
      <c r="R30" s="80"/>
      <c r="S30" s="3"/>
    </row>
    <row r="31" ht="27" customHeight="1">
      <c r="A31" s="3"/>
      <c r="B31" s="59" t="str">
        <v>Russia</v>
      </c>
      <c r="C31" s="59" t="str">
        <v>Europe</v>
      </c>
      <c r="D31" s="45" t="n">
        <v>22</v>
      </c>
      <c r="E31" s="45" t="n">
        <v>74</v>
      </c>
      <c r="F31" s="45" t="n">
        <v>52</v>
      </c>
      <c r="G31" s="63" t="n">
        <v>3.3636</v>
      </c>
      <c r="H31" s="65" t="n">
        <v>2.1154</v>
      </c>
      <c r="I31" s="65" t="n">
        <v>6.5389</v>
      </c>
      <c r="J31" s="45"/>
      <c r="K31" s="81"/>
      <c r="L31" s="83"/>
      <c r="M31" s="83"/>
      <c r="N31" s="45"/>
      <c r="O31" s="63"/>
      <c r="P31" s="85"/>
      <c r="Q31" s="65"/>
      <c r="R31" s="81"/>
      <c r="S31" s="3"/>
    </row>
    <row r="32" ht="27" customHeight="1">
      <c r="A32" s="3"/>
      <c r="B32" s="58" t="str">
        <v>Singapore</v>
      </c>
      <c r="C32" s="58" t="str">
        <v>Asia</v>
      </c>
      <c r="D32" s="44" t="n">
        <v>30</v>
      </c>
      <c r="E32" s="44" t="n">
        <v>72</v>
      </c>
      <c r="F32" s="44" t="n">
        <v>42</v>
      </c>
      <c r="G32" s="62" t="n">
        <v>2.4</v>
      </c>
      <c r="H32" s="64" t="n">
        <v>0.6739</v>
      </c>
      <c r="I32" s="64" t="n">
        <v>13</v>
      </c>
      <c r="J32" s="44"/>
      <c r="K32" s="80"/>
      <c r="L32" s="82"/>
      <c r="M32" s="82"/>
      <c r="N32" s="44"/>
      <c r="O32" s="62"/>
      <c r="P32" s="84"/>
      <c r="Q32" s="64"/>
      <c r="R32" s="80"/>
      <c r="S32" s="3"/>
    </row>
    <row r="33" ht="27" customHeight="1">
      <c r="A33" s="3"/>
      <c r="B33" s="59" t="str">
        <v>Greece</v>
      </c>
      <c r="C33" s="59" t="str">
        <v>Europe</v>
      </c>
      <c r="D33" s="45" t="n">
        <v>4</v>
      </c>
      <c r="E33" s="45" t="n">
        <v>65</v>
      </c>
      <c r="F33" s="45" t="n">
        <v>61</v>
      </c>
      <c r="G33" s="63" t="n">
        <v>16.25</v>
      </c>
      <c r="H33" s="65"/>
      <c r="I33" s="65"/>
      <c r="J33" s="45"/>
      <c r="K33" s="81"/>
      <c r="L33" s="83"/>
      <c r="M33" s="83"/>
      <c r="N33" s="45"/>
      <c r="O33" s="63"/>
      <c r="P33" s="85"/>
      <c r="Q33" s="65"/>
      <c r="R33" s="81"/>
      <c r="S33" s="3"/>
    </row>
    <row r="34" ht="27" customHeight="1">
      <c r="A34" s="3"/>
      <c r="B34" s="58" t="str">
        <v>Taiwan</v>
      </c>
      <c r="C34" s="58" t="str">
        <v>Asia</v>
      </c>
      <c r="D34" s="44" t="n">
        <v>29</v>
      </c>
      <c r="E34" s="44" t="n">
        <v>64</v>
      </c>
      <c r="F34" s="44" t="n">
        <v>35</v>
      </c>
      <c r="G34" s="62" t="n">
        <v>2.2069</v>
      </c>
      <c r="H34" s="64" t="n">
        <v>1.2307</v>
      </c>
      <c r="I34" s="64" t="n">
        <v>4.143</v>
      </c>
      <c r="J34" s="44"/>
      <c r="K34" s="80"/>
      <c r="L34" s="82"/>
      <c r="M34" s="82"/>
      <c r="N34" s="44"/>
      <c r="O34" s="62"/>
      <c r="P34" s="84"/>
      <c r="Q34" s="64"/>
      <c r="R34" s="80"/>
      <c r="S34" s="3"/>
    </row>
    <row r="35" ht="27" customHeight="1">
      <c r="A35" s="3"/>
      <c r="B35" s="59" t="str">
        <v>Japan</v>
      </c>
      <c r="C35" s="59" t="str">
        <v>Asia</v>
      </c>
      <c r="D35" s="45" t="n">
        <v>48</v>
      </c>
      <c r="E35" s="45" t="n">
        <v>64</v>
      </c>
      <c r="F35" s="45" t="n">
        <v>16</v>
      </c>
      <c r="G35" s="63" t="n">
        <v>1.3333</v>
      </c>
      <c r="H35" s="65" t="n">
        <v>0.6071</v>
      </c>
      <c r="I35" s="65" t="n">
        <v>3.3796</v>
      </c>
      <c r="J35" s="45"/>
      <c r="K35" s="81"/>
      <c r="L35" s="83"/>
      <c r="M35" s="83"/>
      <c r="N35" s="45"/>
      <c r="O35" s="63"/>
      <c r="P35" s="85"/>
      <c r="Q35" s="65"/>
      <c r="R35" s="81"/>
      <c r="S35" s="3"/>
    </row>
    <row r="36" ht="27" customHeight="1">
      <c r="A36" s="3"/>
      <c r="B36" s="58" t="str">
        <v>Hong Kong</v>
      </c>
      <c r="C36" s="58" t="str">
        <v>Asia</v>
      </c>
      <c r="D36" s="44" t="n">
        <v>9</v>
      </c>
      <c r="E36" s="44" t="n">
        <v>56</v>
      </c>
      <c r="F36" s="44" t="n">
        <v>47</v>
      </c>
      <c r="G36" s="62" t="n">
        <v>6.2222</v>
      </c>
      <c r="H36" s="64" t="n">
        <v>3.3565</v>
      </c>
      <c r="I36" s="64" t="n">
        <v>16.5</v>
      </c>
      <c r="J36" s="44"/>
      <c r="K36" s="80"/>
      <c r="L36" s="82"/>
      <c r="M36" s="82"/>
      <c r="N36" s="44"/>
      <c r="O36" s="62"/>
      <c r="P36" s="84"/>
      <c r="Q36" s="64"/>
      <c r="R36" s="80"/>
      <c r="S36" s="3"/>
    </row>
    <row r="37" ht="27" customHeight="1">
      <c r="A37" s="3"/>
      <c r="B37" s="59" t="str">
        <v>Ireland</v>
      </c>
      <c r="C37" s="59" t="str">
        <v>Europe</v>
      </c>
      <c r="D37" s="45" t="n">
        <v>18</v>
      </c>
      <c r="E37" s="45" t="n">
        <v>51</v>
      </c>
      <c r="F37" s="45" t="n">
        <v>33</v>
      </c>
      <c r="G37" s="63" t="n">
        <v>2.8333</v>
      </c>
      <c r="H37" s="65" t="n">
        <v>1.64</v>
      </c>
      <c r="I37" s="65" t="n">
        <v>5.5</v>
      </c>
      <c r="J37" s="45"/>
      <c r="K37" s="81"/>
      <c r="L37" s="83"/>
      <c r="M37" s="83"/>
      <c r="N37" s="45"/>
      <c r="O37" s="63"/>
      <c r="P37" s="85"/>
      <c r="Q37" s="65"/>
      <c r="R37" s="81"/>
      <c r="S37" s="3"/>
    </row>
    <row r="38" ht="27" customHeight="1">
      <c r="A38" s="3"/>
      <c r="B38" s="58" t="str">
        <v>Finland</v>
      </c>
      <c r="C38" s="58" t="str">
        <v>Europe</v>
      </c>
      <c r="D38" s="44" t="n">
        <v>23</v>
      </c>
      <c r="E38" s="44" t="n">
        <v>46</v>
      </c>
      <c r="F38" s="44" t="n">
        <v>23</v>
      </c>
      <c r="G38" s="62" t="n">
        <v>2</v>
      </c>
      <c r="H38" s="64" t="n">
        <v>0.9653</v>
      </c>
      <c r="I38" s="64" t="n">
        <v>4.7</v>
      </c>
      <c r="J38" s="44"/>
      <c r="K38" s="80"/>
      <c r="L38" s="82"/>
      <c r="M38" s="82"/>
      <c r="N38" s="44"/>
      <c r="O38" s="62"/>
      <c r="P38" s="84"/>
      <c r="Q38" s="64"/>
      <c r="R38" s="80"/>
      <c r="S38" s="3"/>
    </row>
    <row r="39" ht="27" customHeight="1">
      <c r="A39" s="3"/>
      <c r="B39" s="59" t="str">
        <v>Thailand</v>
      </c>
      <c r="C39" s="59" t="str">
        <v>Asia</v>
      </c>
      <c r="D39" s="45" t="n">
        <v>4</v>
      </c>
      <c r="E39" s="45" t="n">
        <v>29</v>
      </c>
      <c r="F39" s="45" t="n">
        <v>25</v>
      </c>
      <c r="G39" s="63" t="n">
        <v>7.25</v>
      </c>
      <c r="H39" s="65"/>
      <c r="I39" s="65"/>
      <c r="J39" s="45"/>
      <c r="K39" s="81"/>
      <c r="L39" s="83"/>
      <c r="M39" s="83"/>
      <c r="N39" s="45"/>
      <c r="O39" s="63"/>
      <c r="P39" s="85"/>
      <c r="Q39" s="65"/>
      <c r="R39" s="81"/>
      <c r="S39" s="3"/>
    </row>
    <row r="40" ht="27" customHeight="1">
      <c r="A40" s="3"/>
      <c r="B40" s="58" t="str">
        <v>Estonia</v>
      </c>
      <c r="C40" s="58" t="str">
        <v>Europe</v>
      </c>
      <c r="D40" s="44" t="n">
        <v>1</v>
      </c>
      <c r="E40" s="44" t="n">
        <v>25</v>
      </c>
      <c r="F40" s="44" t="n">
        <v>24</v>
      </c>
      <c r="G40" s="62" t="n">
        <v>25</v>
      </c>
      <c r="H40" s="64"/>
      <c r="I40" s="64"/>
      <c r="J40" s="44"/>
      <c r="K40" s="80"/>
      <c r="L40" s="82"/>
      <c r="M40" s="82"/>
      <c r="N40" s="44"/>
      <c r="O40" s="62"/>
      <c r="P40" s="84"/>
      <c r="Q40" s="64"/>
      <c r="R40" s="80"/>
      <c r="S40" s="3"/>
    </row>
    <row r="41" ht="39" customHeight="1">
      <c r="A41" s="3"/>
      <c r="B41" s="59" t="str">
        <v>Argentina</v>
      </c>
      <c r="C41" s="59" t="str">
        <v>South America</v>
      </c>
      <c r="D41" s="45" t="n">
        <v>1</v>
      </c>
      <c r="E41" s="45" t="n">
        <v>22</v>
      </c>
      <c r="F41" s="45" t="n">
        <v>21</v>
      </c>
      <c r="G41" s="63" t="n">
        <v>22</v>
      </c>
      <c r="H41" s="65"/>
      <c r="I41" s="65"/>
      <c r="J41" s="45"/>
      <c r="K41" s="81"/>
      <c r="L41" s="83"/>
      <c r="M41" s="83"/>
      <c r="N41" s="45"/>
      <c r="O41" s="63"/>
      <c r="P41" s="85"/>
      <c r="Q41" s="65"/>
      <c r="R41" s="81"/>
      <c r="S41" s="3"/>
    </row>
    <row r="42" ht="39" customHeight="1">
      <c r="A42" s="3"/>
      <c r="B42" s="58" t="str">
        <v>Mexico</v>
      </c>
      <c r="C42" s="58" t="str">
        <v>North America</v>
      </c>
      <c r="D42" s="44" t="n">
        <v>3</v>
      </c>
      <c r="E42" s="44" t="n">
        <v>21</v>
      </c>
      <c r="F42" s="44" t="n">
        <v>18</v>
      </c>
      <c r="G42" s="62" t="n">
        <v>7</v>
      </c>
      <c r="H42" s="64"/>
      <c r="I42" s="64"/>
      <c r="J42" s="44"/>
      <c r="K42" s="80"/>
      <c r="L42" s="82"/>
      <c r="M42" s="82"/>
      <c r="N42" s="44"/>
      <c r="O42" s="62"/>
      <c r="P42" s="84"/>
      <c r="Q42" s="64"/>
      <c r="R42" s="80"/>
      <c r="S42" s="3"/>
    </row>
    <row r="43" ht="27" customHeight="1">
      <c r="A43" s="3"/>
      <c r="B43" s="59" t="str">
        <v>Slovakia</v>
      </c>
      <c r="C43" s="59" t="str">
        <v>Europe</v>
      </c>
      <c r="D43" s="45" t="n">
        <v>1</v>
      </c>
      <c r="E43" s="45" t="n">
        <v>19</v>
      </c>
      <c r="F43" s="45" t="n">
        <v>18</v>
      </c>
      <c r="G43" s="63" t="n">
        <v>19</v>
      </c>
      <c r="H43" s="65"/>
      <c r="I43" s="65"/>
      <c r="J43" s="45"/>
      <c r="K43" s="81"/>
      <c r="L43" s="83"/>
      <c r="M43" s="83"/>
      <c r="N43" s="45"/>
      <c r="O43" s="63"/>
      <c r="P43" s="85"/>
      <c r="Q43" s="65"/>
      <c r="R43" s="81"/>
      <c r="S43" s="3"/>
    </row>
    <row r="44" ht="27" customHeight="1">
      <c r="A44" s="3"/>
      <c r="B44" s="58" t="str">
        <v>Croatia</v>
      </c>
      <c r="C44" s="58" t="str">
        <v>Europe</v>
      </c>
      <c r="D44" s="44" t="n">
        <v>3</v>
      </c>
      <c r="E44" s="44" t="n">
        <v>16</v>
      </c>
      <c r="F44" s="44" t="n">
        <v>13</v>
      </c>
      <c r="G44" s="62" t="n">
        <v>5.3333</v>
      </c>
      <c r="H44" s="64"/>
      <c r="I44" s="64"/>
      <c r="J44" s="44"/>
      <c r="K44" s="80"/>
      <c r="L44" s="82"/>
      <c r="M44" s="82"/>
      <c r="N44" s="44"/>
      <c r="O44" s="62"/>
      <c r="P44" s="84"/>
      <c r="Q44" s="64"/>
      <c r="R44" s="80"/>
      <c r="S44" s="3"/>
    </row>
    <row r="45" ht="27" customHeight="1">
      <c r="A45" s="3"/>
      <c r="B45" s="59" t="str">
        <v>South Africa</v>
      </c>
      <c r="C45" s="59" t="str">
        <v>Africa</v>
      </c>
      <c r="D45" s="45" t="n">
        <v>5</v>
      </c>
      <c r="E45" s="45" t="n">
        <v>14</v>
      </c>
      <c r="F45" s="45" t="n">
        <v>9</v>
      </c>
      <c r="G45" s="63" t="n">
        <v>2.8</v>
      </c>
      <c r="H45" s="65" t="n">
        <v>0.9</v>
      </c>
      <c r="I45" s="65"/>
      <c r="J45" s="45"/>
      <c r="K45" s="81"/>
      <c r="L45" s="83"/>
      <c r="M45" s="83"/>
      <c r="N45" s="45"/>
      <c r="O45" s="63"/>
      <c r="P45" s="85"/>
      <c r="Q45" s="65"/>
      <c r="R45" s="81"/>
      <c r="S45" s="3"/>
    </row>
    <row r="46" ht="27" customHeight="1">
      <c r="A46" s="3"/>
      <c r="B46" s="58" t="str">
        <v>Saudi Arabia</v>
      </c>
      <c r="C46" s="58" t="str">
        <v>Asia</v>
      </c>
      <c r="D46" s="44" t="n">
        <v>2</v>
      </c>
      <c r="E46" s="44" t="n">
        <v>14</v>
      </c>
      <c r="F46" s="44" t="n">
        <v>12</v>
      </c>
      <c r="G46" s="62" t="n">
        <v>7</v>
      </c>
      <c r="H46" s="64"/>
      <c r="I46" s="64"/>
      <c r="J46" s="44"/>
      <c r="K46" s="80"/>
      <c r="L46" s="82"/>
      <c r="M46" s="82"/>
      <c r="N46" s="44"/>
      <c r="O46" s="62"/>
      <c r="P46" s="84"/>
      <c r="Q46" s="64"/>
      <c r="R46" s="80"/>
      <c r="S46" s="3"/>
    </row>
    <row r="47" ht="27" customHeight="1">
      <c r="A47" s="3"/>
      <c r="B47" s="59" t="str">
        <v>Turkey</v>
      </c>
      <c r="C47" s="59" t="str">
        <v>Asia</v>
      </c>
      <c r="D47" s="45" t="n">
        <v>1</v>
      </c>
      <c r="E47" s="45" t="n">
        <v>14</v>
      </c>
      <c r="F47" s="45" t="n">
        <v>13</v>
      </c>
      <c r="G47" s="63" t="n">
        <v>14</v>
      </c>
      <c r="H47" s="65"/>
      <c r="I47" s="65"/>
      <c r="J47" s="45"/>
      <c r="K47" s="81"/>
      <c r="L47" s="83"/>
      <c r="M47" s="83"/>
      <c r="N47" s="45"/>
      <c r="O47" s="63"/>
      <c r="P47" s="85"/>
      <c r="Q47" s="65"/>
      <c r="R47" s="81"/>
      <c r="S47" s="3"/>
    </row>
    <row r="48" ht="27" customHeight="1">
      <c r="A48" s="3"/>
      <c r="B48" s="58" t="str">
        <v>Luxembourg</v>
      </c>
      <c r="C48" s="58" t="str">
        <v>Europe</v>
      </c>
      <c r="D48" s="44" t="n">
        <v>4</v>
      </c>
      <c r="E48" s="44" t="n">
        <v>14</v>
      </c>
      <c r="F48" s="44" t="n">
        <v>10</v>
      </c>
      <c r="G48" s="62" t="n">
        <v>3.5</v>
      </c>
      <c r="H48" s="64"/>
      <c r="I48" s="64"/>
      <c r="J48" s="44"/>
      <c r="K48" s="80"/>
      <c r="L48" s="82"/>
      <c r="M48" s="82"/>
      <c r="N48" s="44"/>
      <c r="O48" s="62"/>
      <c r="P48" s="84"/>
      <c r="Q48" s="64"/>
      <c r="R48" s="80"/>
      <c r="S48" s="3"/>
    </row>
    <row r="49" ht="27" customHeight="1">
      <c r="A49" s="3"/>
      <c r="B49" s="59" t="str">
        <v>New Zealand</v>
      </c>
      <c r="C49" s="59" t="str">
        <v>Oceania</v>
      </c>
      <c r="D49" s="45" t="n">
        <v>5</v>
      </c>
      <c r="E49" s="45" t="n">
        <v>14</v>
      </c>
      <c r="F49" s="45" t="n">
        <v>9</v>
      </c>
      <c r="G49" s="63" t="n">
        <v>2.8</v>
      </c>
      <c r="H49" s="65" t="n">
        <v>1</v>
      </c>
      <c r="I49" s="65" t="n">
        <v>9</v>
      </c>
      <c r="J49" s="45"/>
      <c r="K49" s="81"/>
      <c r="L49" s="83"/>
      <c r="M49" s="83"/>
      <c r="N49" s="45"/>
      <c r="O49" s="63"/>
      <c r="P49" s="85"/>
      <c r="Q49" s="65"/>
      <c r="R49" s="81"/>
      <c r="S49" s="3"/>
    </row>
    <row r="50" ht="39" customHeight="1">
      <c r="A50" s="3"/>
      <c r="B50" s="58" t="str">
        <v>Uruguay</v>
      </c>
      <c r="C50" s="58" t="str">
        <v>South America</v>
      </c>
      <c r="D50" s="44" t="n">
        <v>2</v>
      </c>
      <c r="E50" s="44" t="n">
        <v>13</v>
      </c>
      <c r="F50" s="44" t="n">
        <v>11</v>
      </c>
      <c r="G50" s="62" t="n">
        <v>6.5</v>
      </c>
      <c r="H50" s="64"/>
      <c r="I50" s="64"/>
      <c r="J50" s="44"/>
      <c r="K50" s="80"/>
      <c r="L50" s="82"/>
      <c r="M50" s="82"/>
      <c r="N50" s="44"/>
      <c r="O50" s="62"/>
      <c r="P50" s="84"/>
      <c r="Q50" s="64"/>
      <c r="R50" s="80"/>
      <c r="S50" s="3"/>
    </row>
    <row r="51" ht="27" customHeight="1">
      <c r="A51" s="3"/>
      <c r="B51" s="59" t="str">
        <v>Egypt</v>
      </c>
      <c r="C51" s="59" t="str">
        <v>Africa</v>
      </c>
      <c r="D51" s="45" t="n">
        <v>0</v>
      </c>
      <c r="E51" s="45" t="n">
        <v>13</v>
      </c>
      <c r="F51" s="45" t="n">
        <v>13</v>
      </c>
      <c r="G51" s="63"/>
      <c r="H51" s="65"/>
      <c r="I51" s="65"/>
      <c r="J51" s="45"/>
      <c r="K51" s="81"/>
      <c r="L51" s="83"/>
      <c r="M51" s="83"/>
      <c r="N51" s="45"/>
      <c r="O51" s="63"/>
      <c r="P51" s="85"/>
      <c r="Q51" s="65"/>
      <c r="R51" s="81"/>
      <c r="S51" s="3"/>
    </row>
    <row r="52" ht="27" customHeight="1">
      <c r="A52" s="3"/>
      <c r="B52" s="58" t="str">
        <v>Serbia</v>
      </c>
      <c r="C52" s="58" t="str">
        <v>Europe</v>
      </c>
      <c r="D52" s="44" t="n">
        <v>0</v>
      </c>
      <c r="E52" s="44" t="n">
        <v>8</v>
      </c>
      <c r="F52" s="44" t="n">
        <v>8</v>
      </c>
      <c r="G52" s="62"/>
      <c r="H52" s="64"/>
      <c r="I52" s="64"/>
      <c r="J52" s="44"/>
      <c r="K52" s="80"/>
      <c r="L52" s="82"/>
      <c r="M52" s="82"/>
      <c r="N52" s="44"/>
      <c r="O52" s="62"/>
      <c r="P52" s="84"/>
      <c r="Q52" s="64"/>
      <c r="R52" s="80"/>
      <c r="S52" s="3"/>
    </row>
    <row r="53" ht="39" customHeight="1">
      <c r="A53" s="3"/>
      <c r="B53" s="59" t="str">
        <v>Chile</v>
      </c>
      <c r="C53" s="59" t="str">
        <v>South America</v>
      </c>
      <c r="D53" s="45" t="n">
        <v>1</v>
      </c>
      <c r="E53" s="45" t="n">
        <v>8</v>
      </c>
      <c r="F53" s="45" t="n">
        <v>7</v>
      </c>
      <c r="G53" s="63" t="n">
        <v>8</v>
      </c>
      <c r="H53" s="65"/>
      <c r="I53" s="65"/>
      <c r="J53" s="45"/>
      <c r="K53" s="81"/>
      <c r="L53" s="83"/>
      <c r="M53" s="83"/>
      <c r="N53" s="45"/>
      <c r="O53" s="63"/>
      <c r="P53" s="85"/>
      <c r="Q53" s="65"/>
      <c r="R53" s="81"/>
      <c r="S53" s="3"/>
    </row>
    <row r="54" ht="27" customHeight="1">
      <c r="A54" s="3"/>
      <c r="B54" s="58" t="str">
        <v>Hungary</v>
      </c>
      <c r="C54" s="58" t="str">
        <v>Europe</v>
      </c>
      <c r="D54" s="44" t="n">
        <v>0</v>
      </c>
      <c r="E54" s="44" t="n">
        <v>8</v>
      </c>
      <c r="F54" s="44" t="n">
        <v>8</v>
      </c>
      <c r="G54" s="62"/>
      <c r="H54" s="64"/>
      <c r="I54" s="64"/>
      <c r="J54" s="44"/>
      <c r="K54" s="80"/>
      <c r="L54" s="82"/>
      <c r="M54" s="82"/>
      <c r="N54" s="44"/>
      <c r="O54" s="62"/>
      <c r="P54" s="84"/>
      <c r="Q54" s="64"/>
      <c r="R54" s="80"/>
      <c r="S54" s="3"/>
    </row>
    <row r="55" ht="39" customHeight="1">
      <c r="A55" s="3"/>
      <c r="B55" s="59" t="str">
        <v>Puerto Rico</v>
      </c>
      <c r="C55" s="59" t="str">
        <v>North America</v>
      </c>
      <c r="D55" s="45" t="n">
        <v>0</v>
      </c>
      <c r="E55" s="45" t="n">
        <v>7</v>
      </c>
      <c r="F55" s="45" t="n">
        <v>7</v>
      </c>
      <c r="G55" s="63"/>
      <c r="H55" s="65"/>
      <c r="I55" s="65"/>
      <c r="J55" s="45"/>
      <c r="K55" s="81"/>
      <c r="L55" s="83"/>
      <c r="M55" s="83"/>
      <c r="N55" s="45"/>
      <c r="O55" s="63"/>
      <c r="P55" s="85"/>
      <c r="Q55" s="65"/>
      <c r="R55" s="81"/>
      <c r="S55" s="3"/>
    </row>
    <row r="56" ht="27" customHeight="1">
      <c r="A56" s="3"/>
      <c r="B56" s="58" t="str">
        <v>Slovenia</v>
      </c>
      <c r="C56" s="58" t="str">
        <v>Europe</v>
      </c>
      <c r="D56" s="44" t="n">
        <v>5</v>
      </c>
      <c r="E56" s="44" t="n">
        <v>7</v>
      </c>
      <c r="F56" s="44" t="n">
        <v>2</v>
      </c>
      <c r="G56" s="62" t="n">
        <v>1.4</v>
      </c>
      <c r="H56" s="64" t="n">
        <v>0.3333</v>
      </c>
      <c r="I56" s="64"/>
      <c r="J56" s="44"/>
      <c r="K56" s="80"/>
      <c r="L56" s="82"/>
      <c r="M56" s="82"/>
      <c r="N56" s="44"/>
      <c r="O56" s="62"/>
      <c r="P56" s="84"/>
      <c r="Q56" s="64"/>
      <c r="R56" s="80"/>
      <c r="S56" s="3"/>
    </row>
    <row r="57" ht="27" customHeight="1">
      <c r="A57" s="3"/>
      <c r="B57" s="59" t="str">
        <v>Romania</v>
      </c>
      <c r="C57" s="59" t="str">
        <v>Europe</v>
      </c>
      <c r="D57" s="45" t="n">
        <v>1</v>
      </c>
      <c r="E57" s="45" t="n">
        <v>5</v>
      </c>
      <c r="F57" s="45" t="n">
        <v>4</v>
      </c>
      <c r="G57" s="63" t="n">
        <v>5</v>
      </c>
      <c r="H57" s="65"/>
      <c r="I57" s="65"/>
      <c r="J57" s="45"/>
      <c r="K57" s="81"/>
      <c r="L57" s="83"/>
      <c r="M57" s="83"/>
      <c r="N57" s="45"/>
      <c r="O57" s="63"/>
      <c r="P57" s="85"/>
      <c r="Q57" s="65"/>
      <c r="R57" s="81"/>
      <c r="S57" s="3"/>
    </row>
    <row r="58" ht="27" customHeight="1">
      <c r="A58" s="3"/>
      <c r="B58" s="58" t="str">
        <v>Qatar</v>
      </c>
      <c r="C58" s="58" t="str">
        <v>Asia</v>
      </c>
      <c r="D58" s="44" t="n">
        <v>2</v>
      </c>
      <c r="E58" s="44" t="n">
        <v>5</v>
      </c>
      <c r="F58" s="44" t="n">
        <v>3</v>
      </c>
      <c r="G58" s="62" t="n">
        <v>2.5</v>
      </c>
      <c r="H58" s="64"/>
      <c r="I58" s="64"/>
      <c r="J58" s="44"/>
      <c r="K58" s="80"/>
      <c r="L58" s="82"/>
      <c r="M58" s="82"/>
      <c r="N58" s="44"/>
      <c r="O58" s="62"/>
      <c r="P58" s="84"/>
      <c r="Q58" s="64"/>
      <c r="R58" s="80"/>
      <c r="S58" s="3"/>
    </row>
    <row r="59" ht="27" customHeight="1">
      <c r="A59" s="3"/>
      <c r="B59" s="59" t="str">
        <v>North Macedonia</v>
      </c>
      <c r="C59" s="59" t="str">
        <v>Europe</v>
      </c>
      <c r="D59" s="45" t="n">
        <v>1</v>
      </c>
      <c r="E59" s="45" t="n">
        <v>3</v>
      </c>
      <c r="F59" s="45" t="n">
        <v>2</v>
      </c>
      <c r="G59" s="63" t="n">
        <v>3</v>
      </c>
      <c r="H59" s="65"/>
      <c r="I59" s="65"/>
      <c r="J59" s="45"/>
      <c r="K59" s="81"/>
      <c r="L59" s="83"/>
      <c r="M59" s="83"/>
      <c r="N59" s="45"/>
      <c r="O59" s="63"/>
      <c r="P59" s="85"/>
      <c r="Q59" s="65"/>
      <c r="R59" s="81"/>
      <c r="S59" s="3"/>
    </row>
    <row r="60" ht="27" customHeight="1">
      <c r="A60" s="3"/>
      <c r="B60" s="58" t="str">
        <v>Malaysia</v>
      </c>
      <c r="C60" s="58" t="str">
        <v>Asia</v>
      </c>
      <c r="D60" s="44" t="n">
        <v>11</v>
      </c>
      <c r="E60" s="44" t="n">
        <v>3</v>
      </c>
      <c r="F60" s="44" t="n">
        <v>-8</v>
      </c>
      <c r="G60" s="62" t="n">
        <v>0.2727</v>
      </c>
      <c r="H60" s="64" t="n">
        <v>0</v>
      </c>
      <c r="I60" s="64" t="n">
        <v>1</v>
      </c>
      <c r="J60" s="44"/>
      <c r="K60" s="80"/>
      <c r="L60" s="82"/>
      <c r="M60" s="82"/>
      <c r="N60" s="44"/>
      <c r="O60" s="62"/>
      <c r="P60" s="84"/>
      <c r="Q60" s="64"/>
      <c r="R60" s="80"/>
      <c r="S60" s="3"/>
    </row>
    <row r="61" ht="27" customHeight="1">
      <c r="A61" s="3"/>
      <c r="B61" s="59" t="str">
        <v>Lithuania</v>
      </c>
      <c r="C61" s="59" t="str">
        <v>Europe</v>
      </c>
      <c r="D61" s="45" t="n">
        <v>0</v>
      </c>
      <c r="E61" s="45" t="n">
        <v>3</v>
      </c>
      <c r="F61" s="45" t="n">
        <v>3</v>
      </c>
      <c r="G61" s="63"/>
      <c r="H61" s="65"/>
      <c r="I61" s="65"/>
      <c r="J61" s="45"/>
      <c r="K61" s="81"/>
      <c r="L61" s="83"/>
      <c r="M61" s="83"/>
      <c r="N61" s="45"/>
      <c r="O61" s="63"/>
      <c r="P61" s="85"/>
      <c r="Q61" s="65"/>
      <c r="R61" s="81"/>
      <c r="S61" s="3"/>
    </row>
    <row r="62" ht="27" customHeight="1">
      <c r="A62" s="3"/>
      <c r="B62" s="58" t="str">
        <v>United Arab Emirates</v>
      </c>
      <c r="C62" s="58" t="str">
        <v>Asia</v>
      </c>
      <c r="D62" s="44" t="n">
        <v>0</v>
      </c>
      <c r="E62" s="44" t="n">
        <v>3</v>
      </c>
      <c r="F62" s="44" t="n">
        <v>3</v>
      </c>
      <c r="G62" s="62"/>
      <c r="H62" s="64"/>
      <c r="I62" s="64"/>
      <c r="J62" s="44"/>
      <c r="K62" s="80"/>
      <c r="L62" s="82"/>
      <c r="M62" s="82"/>
      <c r="N62" s="44"/>
      <c r="O62" s="62"/>
      <c r="P62" s="84"/>
      <c r="Q62" s="64"/>
      <c r="R62" s="80"/>
      <c r="S62" s="3"/>
    </row>
    <row r="63" ht="27" customHeight="1">
      <c r="A63" s="3"/>
      <c r="B63" s="59" t="str">
        <v>Pakistan</v>
      </c>
      <c r="C63" s="59" t="str">
        <v>Asia</v>
      </c>
      <c r="D63" s="45" t="n">
        <v>2</v>
      </c>
      <c r="E63" s="45" t="n">
        <v>2</v>
      </c>
      <c r="F63" s="45" t="n">
        <v>0</v>
      </c>
      <c r="G63" s="63" t="n">
        <v>1</v>
      </c>
      <c r="H63" s="65"/>
      <c r="I63" s="65"/>
      <c r="J63" s="45"/>
      <c r="K63" s="81"/>
      <c r="L63" s="83"/>
      <c r="M63" s="83"/>
      <c r="N63" s="45"/>
      <c r="O63" s="63"/>
      <c r="P63" s="85"/>
      <c r="Q63" s="65"/>
      <c r="R63" s="81"/>
      <c r="S63" s="3"/>
    </row>
    <row r="64" ht="27" customHeight="1">
      <c r="A64" s="3"/>
      <c r="B64" s="58" t="str">
        <v>Jersey</v>
      </c>
      <c r="C64" s="58" t="str">
        <v>Europe</v>
      </c>
      <c r="D64" s="44" t="n">
        <v>0</v>
      </c>
      <c r="E64" s="44" t="n">
        <v>2</v>
      </c>
      <c r="F64" s="44" t="n">
        <v>2</v>
      </c>
      <c r="G64" s="62"/>
      <c r="H64" s="64"/>
      <c r="I64" s="64"/>
      <c r="J64" s="44"/>
      <c r="K64" s="80"/>
      <c r="L64" s="82"/>
      <c r="M64" s="82"/>
      <c r="N64" s="44"/>
      <c r="O64" s="62"/>
      <c r="P64" s="84"/>
      <c r="Q64" s="64"/>
      <c r="R64" s="80"/>
      <c r="S64" s="3"/>
    </row>
    <row r="65" ht="27" customHeight="1">
      <c r="A65" s="3"/>
      <c r="B65" s="59" t="str">
        <v>Cyprus</v>
      </c>
      <c r="C65" s="59" t="str">
        <v>Asia</v>
      </c>
      <c r="D65" s="45" t="n">
        <v>0</v>
      </c>
      <c r="E65" s="45" t="n">
        <v>1</v>
      </c>
      <c r="F65" s="45" t="n">
        <v>1</v>
      </c>
      <c r="G65" s="63"/>
      <c r="H65" s="65"/>
      <c r="I65" s="65"/>
      <c r="J65" s="45"/>
      <c r="K65" s="81"/>
      <c r="L65" s="83"/>
      <c r="M65" s="83"/>
      <c r="N65" s="45"/>
      <c r="O65" s="63"/>
      <c r="P65" s="85"/>
      <c r="Q65" s="65"/>
      <c r="R65" s="81"/>
      <c r="S65" s="3"/>
    </row>
    <row r="66" ht="27" customHeight="1">
      <c r="A66" s="3"/>
      <c r="B66" s="58" t="str">
        <v>Bulgaria</v>
      </c>
      <c r="C66" s="58" t="str">
        <v>Europe</v>
      </c>
      <c r="D66" s="44" t="n">
        <v>0</v>
      </c>
      <c r="E66" s="44" t="n">
        <v>1</v>
      </c>
      <c r="F66" s="44" t="n">
        <v>1</v>
      </c>
      <c r="G66" s="62"/>
      <c r="H66" s="64"/>
      <c r="I66" s="64"/>
      <c r="J66" s="44"/>
      <c r="K66" s="80"/>
      <c r="L66" s="82"/>
      <c r="M66" s="82"/>
      <c r="N66" s="44"/>
      <c r="O66" s="62"/>
      <c r="P66" s="84"/>
      <c r="Q66" s="64"/>
      <c r="R66" s="80"/>
      <c r="S66" s="3"/>
    </row>
    <row r="67" ht="27" customHeight="1">
      <c r="A67" s="3"/>
      <c r="B67" s="59" t="str">
        <v>Philippines</v>
      </c>
      <c r="C67" s="59" t="str">
        <v>Asia</v>
      </c>
      <c r="D67" s="45" t="n">
        <v>0</v>
      </c>
      <c r="E67" s="45" t="n">
        <v>1</v>
      </c>
      <c r="F67" s="45" t="n">
        <v>1</v>
      </c>
      <c r="G67" s="63"/>
      <c r="H67" s="65"/>
      <c r="I67" s="65"/>
      <c r="J67" s="45"/>
      <c r="K67" s="81"/>
      <c r="L67" s="83"/>
      <c r="M67" s="83"/>
      <c r="N67" s="45"/>
      <c r="O67" s="63"/>
      <c r="P67" s="85"/>
      <c r="Q67" s="65"/>
      <c r="R67" s="81"/>
      <c r="S67" s="3"/>
    </row>
    <row r="68" ht="39" customHeight="1">
      <c r="A68" s="3"/>
      <c r="B68" s="58" t="str">
        <v>Ecuador</v>
      </c>
      <c r="C68" s="58" t="str">
        <v>South America</v>
      </c>
      <c r="D68" s="44" t="n">
        <v>0</v>
      </c>
      <c r="E68" s="44" t="n">
        <v>1</v>
      </c>
      <c r="F68" s="44" t="n">
        <v>1</v>
      </c>
      <c r="G68" s="62"/>
      <c r="H68" s="64"/>
      <c r="I68" s="64"/>
      <c r="J68" s="44"/>
      <c r="K68" s="80"/>
      <c r="L68" s="82"/>
      <c r="M68" s="82"/>
      <c r="N68" s="44"/>
      <c r="O68" s="62"/>
      <c r="P68" s="84"/>
      <c r="Q68" s="64"/>
      <c r="R68" s="80"/>
      <c r="S68" s="3"/>
    </row>
    <row r="69" ht="27" customHeight="1">
      <c r="A69" s="3"/>
      <c r="B69" s="59" t="str">
        <v>Iran</v>
      </c>
      <c r="C69" s="59" t="str">
        <v>Asia</v>
      </c>
      <c r="D69" s="45" t="n">
        <v>2</v>
      </c>
      <c r="E69" s="45" t="n">
        <v>1</v>
      </c>
      <c r="F69" s="45" t="n">
        <v>-1</v>
      </c>
      <c r="G69" s="63" t="n">
        <v>0.5</v>
      </c>
      <c r="H69" s="65"/>
      <c r="I69" s="65"/>
      <c r="J69" s="45"/>
      <c r="K69" s="81"/>
      <c r="L69" s="83"/>
      <c r="M69" s="83"/>
      <c r="N69" s="45"/>
      <c r="O69" s="63"/>
      <c r="P69" s="85"/>
      <c r="Q69" s="65"/>
      <c r="R69" s="81"/>
      <c r="S69" s="3"/>
    </row>
    <row r="70" ht="27" customHeight="1">
      <c r="A70" s="3"/>
      <c r="B70" s="58" t="str">
        <v>Kenya</v>
      </c>
      <c r="C70" s="58" t="str">
        <v>Africa</v>
      </c>
      <c r="D70" s="44" t="n">
        <v>0</v>
      </c>
      <c r="E70" s="44" t="n">
        <v>1</v>
      </c>
      <c r="F70" s="44" t="n">
        <v>1</v>
      </c>
      <c r="G70" s="62"/>
      <c r="H70" s="64"/>
      <c r="I70" s="64"/>
      <c r="J70" s="44"/>
      <c r="K70" s="80"/>
      <c r="L70" s="82"/>
      <c r="M70" s="82"/>
      <c r="N70" s="44"/>
      <c r="O70" s="62"/>
      <c r="P70" s="84"/>
      <c r="Q70" s="64"/>
      <c r="R70" s="80"/>
      <c r="S70" s="3"/>
    </row>
    <row r="71" ht="27" customHeight="1">
      <c r="A71" s="3"/>
      <c r="B71" s="59" t="str">
        <v>Macao</v>
      </c>
      <c r="C71" s="59" t="str">
        <v>Asia</v>
      </c>
      <c r="D71" s="45" t="n">
        <v>1</v>
      </c>
      <c r="E71" s="45" t="n">
        <v>1</v>
      </c>
      <c r="F71" s="45" t="n">
        <v>0</v>
      </c>
      <c r="G71" s="63" t="n">
        <v>1</v>
      </c>
      <c r="H71" s="65"/>
      <c r="I71" s="65"/>
      <c r="J71" s="45"/>
      <c r="K71" s="81"/>
      <c r="L71" s="83"/>
      <c r="M71" s="83"/>
      <c r="N71" s="45"/>
      <c r="O71" s="63"/>
      <c r="P71" s="85"/>
      <c r="Q71" s="65"/>
      <c r="R71" s="81"/>
      <c r="S71" s="3"/>
    </row>
    <row r="72" ht="27" customHeight="1">
      <c r="A72" s="3"/>
      <c r="B72" s="76" t="str">
        <v>Kuwait</v>
      </c>
      <c r="C72" s="76" t="str">
        <v>Asia</v>
      </c>
      <c r="D72" s="51" t="n">
        <v>0</v>
      </c>
      <c r="E72" s="51" t="n">
        <v>1</v>
      </c>
      <c r="F72" s="51" t="n">
        <v>1</v>
      </c>
      <c r="G72" s="86"/>
      <c r="H72" s="87"/>
      <c r="I72" s="87"/>
      <c r="J72" s="51"/>
      <c r="K72" s="88"/>
      <c r="L72" s="89"/>
      <c r="M72" s="89"/>
      <c r="N72" s="51"/>
      <c r="O72" s="86"/>
      <c r="P72" s="90"/>
      <c r="Q72" s="87"/>
      <c r="R72" s="88"/>
      <c r="S72" s="3"/>
    </row>
    <row r="73" ht="23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23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23" customHeight="1">
      <c r="A75" s="3"/>
      <c r="B75" s="53" t="str">
        <v>Table scope</v>
      </c>
      <c r="C75" s="5"/>
      <c r="D75" s="5"/>
      <c r="E75" s="5"/>
      <c r="F75" s="5"/>
      <c r="G75" s="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27" customHeight="1">
      <c r="A76" s="3"/>
      <c r="B76" s="12" t="str">
        <v>Countries: growth, international co-authorship and data age (Fig. 1e–g; Supplementary Figs 10–11)</v>
      </c>
      <c r="C76" s="12"/>
      <c r="D76" s="12"/>
      <c r="E76" s="12"/>
      <c r="F76" s="12"/>
      <c r="G76" s="1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23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23" customHeight="1">
      <c r="A78" s="3"/>
      <c r="B78" s="53" t="str">
        <v>Definition</v>
      </c>
      <c r="C78" s="5"/>
      <c r="D78" s="5"/>
      <c r="E78" s="5"/>
      <c r="F78" s="5"/>
      <c r="G78" s="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72" customHeight="1">
      <c r="A79" s="3"/>
      <c r="B79" s="12" t="str">
        <v>Datasets by contributing group’s country (country-resolved datasets only). Growth multiple 2016–18 → 2023–25 with 95% group-bootstrap interval. International share = linked papers with author institutions in ≥2 countries. Data age = days from latest acquisition date in raw-file names to submission, Thermo-only non-DIA datasets submitted 2016–2025.</v>
      </c>
      <c r="C79" s="12"/>
      <c r="D79" s="12"/>
      <c r="E79" s="12"/>
      <c r="F79" s="12"/>
      <c r="G79" s="1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23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23" customHeight="1">
      <c r="A81" s="3"/>
      <c r="B81" s="53" t="str">
        <v>Source</v>
      </c>
      <c r="C81" s="5"/>
      <c r="D81" s="5"/>
      <c r="E81" s="5"/>
      <c r="F81" s="5"/>
      <c r="G81" s="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27" customHeight="1">
      <c r="A82" s="3"/>
      <c r="B82" s="12" t="str">
        <v>Gallery/data/20-world-growth.csv; 35-collaboration-by-country.csv; 39-data-age-by-country.csv</v>
      </c>
      <c r="C82" s="12"/>
      <c r="D82" s="12"/>
      <c r="E82" s="12"/>
      <c r="F82" s="12"/>
      <c r="G82" s="1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23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23" customHeight="1">
      <c r="A84" s="3"/>
      <c r="B84" s="53" t="str">
        <v>Original column names</v>
      </c>
      <c r="C84" s="5"/>
      <c r="D84" s="5"/>
      <c r="E84" s="5"/>
      <c r="F84" s="5"/>
      <c r="G84" s="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57" customHeight="1">
      <c r="A85" s="3"/>
      <c r="B85" s="12" t="str">
        <v>country, continent, d_2016_2018, d_2023_2025, added, multiple, multiple_lo, multiple_hi, linked_papers, international_share, intl_lo, intl_hi, data_age_datasets, data_age_median_days, age_lo, age_hi, dated_raw_share</v>
      </c>
      <c r="C85" s="12"/>
      <c r="D85" s="12"/>
      <c r="E85" s="12"/>
      <c r="F85" s="12"/>
      <c r="G85" s="1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23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23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23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23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23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23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23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23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23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23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23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23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</sheetData>
  <mergeCells>
    <mergeCell ref="B2:G2"/>
    <mergeCell ref="B3:G3"/>
    <mergeCell ref="B4:G4"/>
    <mergeCell ref="B75:G75"/>
    <mergeCell ref="B76:G76"/>
    <mergeCell ref="B78:G78"/>
    <mergeCell ref="B79:G79"/>
    <mergeCell ref="B81:G81"/>
    <mergeCell ref="B82:G82"/>
    <mergeCell ref="B84:G84"/>
    <mergeCell ref="B85:G85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8" orientation="landscape" scale="90" useFirstPageNumber="0"/>
  <headerFooter>
    <oddFooter>&amp;LPRIDE supplementary tables&amp;CS6&amp;RPage &amp;P of &amp;N</oddFooter>
  </headerFooter>
  <tableParts count="1">
    <tablePart ns1:id="R360651a9cbf74d87"/>
  </tableParts>
</worksheet>
</file>

<file path=xl/worksheets/sheet8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39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23" customHeight="1">
      <c r="A2" s="3"/>
      <c r="B2" s="5" t="str">
        <v>SUPPLEMENTARY TABLE S7</v>
      </c>
      <c r="C2" s="5"/>
      <c r="D2" s="5"/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30" customHeight="1">
      <c r="A3" s="3"/>
      <c r="B3" s="7" t="str">
        <v>Instrument models and raw-run size</v>
      </c>
      <c r="C3" s="7"/>
      <c r="D3" s="7"/>
      <c r="E3" s="7"/>
      <c r="F3" s="7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29" customHeight="1">
      <c r="A4" s="3"/>
      <c r="B4" s="12" t="str">
        <v>Instrument labels describe deposited data. Run-size statistics use the eligible single-model subset.</v>
      </c>
      <c r="C4" s="12"/>
      <c r="D4" s="12"/>
      <c r="E4" s="12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23" customHeight="1">
      <c r="A5" s="3"/>
      <c r="B5" s="28"/>
      <c r="C5" s="28"/>
      <c r="D5" s="28"/>
      <c r="E5" s="28"/>
      <c r="F5" s="28"/>
      <c r="G5" s="2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ht="54" customHeight="1">
      <c r="A7" s="3"/>
      <c r="B7" s="35" t="str">
        <v>Model</v>
      </c>
      <c r="C7" s="36" t="str">
        <v>Vendor</v>
      </c>
      <c r="D7" s="36" t="str">
        <v>Datasets</v>
      </c>
      <c r="E7" s="36" t="str">
        <v>Groups total</v>
      </c>
      <c r="F7" s="36" t="str">
        <v>First year, ≥1 dataset</v>
      </c>
      <c r="G7" s="36" t="str">
        <v>First year, ≥5 datasets</v>
      </c>
      <c r="H7" s="36" t="str">
        <v>Year of peak share</v>
      </c>
      <c r="I7" s="36" t="str">
        <v>Peak share (%)</v>
      </c>
      <c r="J7" s="36" t="str">
        <v>Share in 2025 (%)</v>
      </c>
      <c r="K7" s="36" t="str">
        <v>Present at study start</v>
      </c>
      <c r="L7" s="36" t="str">
        <v>Run-size datasets</v>
      </c>
      <c r="M7" s="36" t="str">
        <v>Run-size groups</v>
      </c>
      <c r="N7" s="36" t="str">
        <v>Median raw runs</v>
      </c>
      <c r="O7" s="36" t="str">
        <v>Median size per run (GB)</v>
      </c>
      <c r="P7" s="36" t="str">
        <v>25th percentile (GB)</v>
      </c>
      <c r="Q7" s="36" t="str">
        <v>75th percentile (GB)</v>
      </c>
      <c r="R7" s="37" t="str">
        <v>DIA share (%)</v>
      </c>
      <c r="S7" s="3"/>
    </row>
    <row r="8" ht="39" customHeight="1">
      <c r="A8" s="3"/>
      <c r="B8" s="58" t="str">
        <v>Q Exactive</v>
      </c>
      <c r="C8" s="58" t="str">
        <v>Thermo Fisher</v>
      </c>
      <c r="D8" s="44" t="n">
        <v>8023</v>
      </c>
      <c r="E8" s="44" t="n">
        <v>3856</v>
      </c>
      <c r="F8" s="40" t="n">
        <v>2013</v>
      </c>
      <c r="G8" s="40" t="n">
        <v>2013</v>
      </c>
      <c r="H8" s="40" t="n">
        <v>2018</v>
      </c>
      <c r="I8" s="80" t="n">
        <v>0.4029</v>
      </c>
      <c r="J8" s="80" t="n">
        <v>0.1067</v>
      </c>
      <c r="K8" s="97" t="b">
        <v>1</v>
      </c>
      <c r="L8" s="44" t="n">
        <v>6777</v>
      </c>
      <c r="M8" s="44" t="n">
        <v>3344</v>
      </c>
      <c r="N8" s="62" t="n">
        <v>20</v>
      </c>
      <c r="O8" s="62" t="n">
        <v>1.0595</v>
      </c>
      <c r="P8" s="62" t="n">
        <v>0.6776</v>
      </c>
      <c r="Q8" s="62" t="n">
        <v>1.6087</v>
      </c>
      <c r="R8" s="80" t="n">
        <v>0.0307</v>
      </c>
      <c r="S8" s="3"/>
    </row>
    <row r="9" ht="39" customHeight="1">
      <c r="A9" s="3"/>
      <c r="B9" s="59" t="str">
        <v>Q Exactive HF</v>
      </c>
      <c r="C9" s="59" t="str">
        <v>Thermo Fisher</v>
      </c>
      <c r="D9" s="45" t="n">
        <v>4803</v>
      </c>
      <c r="E9" s="45" t="n">
        <v>2419</v>
      </c>
      <c r="F9" s="41" t="n">
        <v>2014</v>
      </c>
      <c r="G9" s="41" t="n">
        <v>2017</v>
      </c>
      <c r="H9" s="41" t="n">
        <v>2023</v>
      </c>
      <c r="I9" s="81" t="n">
        <v>0.2044</v>
      </c>
      <c r="J9" s="81" t="n">
        <v>0.1559</v>
      </c>
      <c r="K9" s="98" t="b">
        <v>0</v>
      </c>
      <c r="L9" s="45" t="n">
        <v>4148</v>
      </c>
      <c r="M9" s="45" t="n">
        <v>2131</v>
      </c>
      <c r="N9" s="63" t="n">
        <v>18</v>
      </c>
      <c r="O9" s="63" t="n">
        <v>1.1395</v>
      </c>
      <c r="P9" s="63" t="n">
        <v>0.725</v>
      </c>
      <c r="Q9" s="63" t="n">
        <v>1.7835</v>
      </c>
      <c r="R9" s="81" t="n">
        <v>0.0711</v>
      </c>
      <c r="S9" s="3"/>
    </row>
    <row r="10" ht="39" customHeight="1">
      <c r="A10" s="3"/>
      <c r="B10" s="58" t="str">
        <v>Orbitrap Fusion Lumos</v>
      </c>
      <c r="C10" s="58" t="str">
        <v>Thermo Fisher</v>
      </c>
      <c r="D10" s="44" t="n">
        <v>4674</v>
      </c>
      <c r="E10" s="44" t="n">
        <v>2119</v>
      </c>
      <c r="F10" s="40" t="n">
        <v>2017</v>
      </c>
      <c r="G10" s="40" t="n">
        <v>2017</v>
      </c>
      <c r="H10" s="40" t="n">
        <v>2023</v>
      </c>
      <c r="I10" s="80" t="n">
        <v>0.1708</v>
      </c>
      <c r="J10" s="80" t="n">
        <v>0.1545</v>
      </c>
      <c r="K10" s="97" t="b">
        <v>0</v>
      </c>
      <c r="L10" s="44" t="n">
        <v>3920</v>
      </c>
      <c r="M10" s="44" t="n">
        <v>1853</v>
      </c>
      <c r="N10" s="62" t="n">
        <v>18</v>
      </c>
      <c r="O10" s="62" t="n">
        <v>0.9705</v>
      </c>
      <c r="P10" s="62" t="n">
        <v>0.621</v>
      </c>
      <c r="Q10" s="62" t="n">
        <v>1.457</v>
      </c>
      <c r="R10" s="80" t="n">
        <v>0.0801</v>
      </c>
      <c r="S10" s="3"/>
    </row>
    <row r="11" ht="39" customHeight="1">
      <c r="A11" s="3"/>
      <c r="B11" s="59" t="str">
        <v>Orbitrap Fusion</v>
      </c>
      <c r="C11" s="59" t="str">
        <v>Thermo Fisher</v>
      </c>
      <c r="D11" s="45" t="n">
        <v>2769</v>
      </c>
      <c r="E11" s="45" t="n">
        <v>1484</v>
      </c>
      <c r="F11" s="41" t="n">
        <v>2014</v>
      </c>
      <c r="G11" s="41" t="n">
        <v>2015</v>
      </c>
      <c r="H11" s="41" t="n">
        <v>2021</v>
      </c>
      <c r="I11" s="81" t="n">
        <v>0.1024</v>
      </c>
      <c r="J11" s="81" t="n">
        <v>0.0707</v>
      </c>
      <c r="K11" s="98" t="b">
        <v>0</v>
      </c>
      <c r="L11" s="45" t="n">
        <v>2279</v>
      </c>
      <c r="M11" s="45" t="n">
        <v>1279</v>
      </c>
      <c r="N11" s="63" t="n">
        <v>18</v>
      </c>
      <c r="O11" s="63" t="n">
        <v>0.9387</v>
      </c>
      <c r="P11" s="63" t="n">
        <v>0.5868</v>
      </c>
      <c r="Q11" s="63" t="n">
        <v>1.4495</v>
      </c>
      <c r="R11" s="81" t="n">
        <v>0.0298</v>
      </c>
      <c r="S11" s="3"/>
    </row>
    <row r="12" ht="39" customHeight="1">
      <c r="A12" s="3"/>
      <c r="B12" s="58" t="str">
        <v>LTQ Orbitrap Velos</v>
      </c>
      <c r="C12" s="58" t="str">
        <v>Thermo Fisher</v>
      </c>
      <c r="D12" s="44" t="n">
        <v>2591</v>
      </c>
      <c r="E12" s="44" t="n">
        <v>1328</v>
      </c>
      <c r="F12" s="40" t="n">
        <v>2013</v>
      </c>
      <c r="G12" s="40" t="n">
        <v>2013</v>
      </c>
      <c r="H12" s="40" t="n">
        <v>2015</v>
      </c>
      <c r="I12" s="80" t="n">
        <v>0.306</v>
      </c>
      <c r="J12" s="80" t="n">
        <v>0.0191</v>
      </c>
      <c r="K12" s="97" t="b">
        <v>1</v>
      </c>
      <c r="L12" s="44" t="n">
        <v>2052</v>
      </c>
      <c r="M12" s="44" t="n">
        <v>1090</v>
      </c>
      <c r="N12" s="62" t="n">
        <v>24</v>
      </c>
      <c r="O12" s="62" t="n">
        <v>0.493</v>
      </c>
      <c r="P12" s="62" t="n">
        <v>0.3009</v>
      </c>
      <c r="Q12" s="62" t="n">
        <v>0.8123</v>
      </c>
      <c r="R12" s="80" t="n">
        <v>0.0039</v>
      </c>
      <c r="S12" s="3"/>
    </row>
    <row r="13" ht="39" customHeight="1">
      <c r="A13" s="3"/>
      <c r="B13" s="59" t="str">
        <v>LTQ Orbitrap</v>
      </c>
      <c r="C13" s="59" t="str">
        <v>Thermo Fisher</v>
      </c>
      <c r="D13" s="45" t="n">
        <v>1972</v>
      </c>
      <c r="E13" s="45" t="n">
        <v>1203</v>
      </c>
      <c r="F13" s="41" t="n">
        <v>2013</v>
      </c>
      <c r="G13" s="41" t="n">
        <v>2013</v>
      </c>
      <c r="H13" s="41" t="n">
        <v>2013</v>
      </c>
      <c r="I13" s="81" t="n">
        <v>0.4234</v>
      </c>
      <c r="J13" s="81" t="n">
        <v>0.0187</v>
      </c>
      <c r="K13" s="98" t="b">
        <v>1</v>
      </c>
      <c r="L13" s="45" t="n">
        <v>1569</v>
      </c>
      <c r="M13" s="45" t="n">
        <v>981</v>
      </c>
      <c r="N13" s="63" t="n">
        <v>24</v>
      </c>
      <c r="O13" s="63" t="n">
        <v>0.4391</v>
      </c>
      <c r="P13" s="63" t="n">
        <v>0.2381</v>
      </c>
      <c r="Q13" s="63" t="n">
        <v>0.7974</v>
      </c>
      <c r="R13" s="81" t="n">
        <v>0.0096</v>
      </c>
      <c r="S13" s="3"/>
    </row>
    <row r="14" ht="39" customHeight="1">
      <c r="A14" s="3"/>
      <c r="B14" s="58" t="str">
        <v>LTQ Orbitrap Elite</v>
      </c>
      <c r="C14" s="58" t="str">
        <v>Thermo Fisher</v>
      </c>
      <c r="D14" s="44" t="n">
        <v>1954</v>
      </c>
      <c r="E14" s="44" t="n">
        <v>1018</v>
      </c>
      <c r="F14" s="40" t="n">
        <v>2013</v>
      </c>
      <c r="G14" s="40" t="n">
        <v>2013</v>
      </c>
      <c r="H14" s="40" t="n">
        <v>2016</v>
      </c>
      <c r="I14" s="80" t="n">
        <v>0.1098</v>
      </c>
      <c r="J14" s="80" t="n">
        <v>0.0268</v>
      </c>
      <c r="K14" s="97" t="b">
        <v>1</v>
      </c>
      <c r="L14" s="44" t="n">
        <v>1545</v>
      </c>
      <c r="M14" s="44" t="n">
        <v>828</v>
      </c>
      <c r="N14" s="62" t="n">
        <v>18</v>
      </c>
      <c r="O14" s="62" t="n">
        <v>0.5031</v>
      </c>
      <c r="P14" s="62" t="n">
        <v>0.3138</v>
      </c>
      <c r="Q14" s="62" t="n">
        <v>0.8216</v>
      </c>
      <c r="R14" s="80" t="n">
        <v>0.0162</v>
      </c>
      <c r="S14" s="3"/>
    </row>
    <row r="15" ht="39" customHeight="1">
      <c r="A15" s="3"/>
      <c r="B15" s="59" t="str">
        <v>Orbitrap Exploris 480</v>
      </c>
      <c r="C15" s="59" t="str">
        <v>Thermo Fisher</v>
      </c>
      <c r="D15" s="45" t="n">
        <v>1909</v>
      </c>
      <c r="E15" s="45" t="n">
        <v>961</v>
      </c>
      <c r="F15" s="41" t="n">
        <v>2020</v>
      </c>
      <c r="G15" s="41" t="n">
        <v>2020</v>
      </c>
      <c r="H15" s="41" t="n">
        <v>2025</v>
      </c>
      <c r="I15" s="81" t="n">
        <v>0.1306</v>
      </c>
      <c r="J15" s="81" t="n">
        <v>0.1306</v>
      </c>
      <c r="K15" s="98" t="b">
        <v>0</v>
      </c>
      <c r="L15" s="45" t="n">
        <v>1549</v>
      </c>
      <c r="M15" s="45" t="n">
        <v>798</v>
      </c>
      <c r="N15" s="63" t="n">
        <v>19</v>
      </c>
      <c r="O15" s="63" t="n">
        <v>1.0743</v>
      </c>
      <c r="P15" s="63" t="n">
        <v>0.707</v>
      </c>
      <c r="Q15" s="63" t="n">
        <v>1.7854</v>
      </c>
      <c r="R15" s="81" t="n">
        <v>0.2434</v>
      </c>
      <c r="S15" s="3"/>
    </row>
    <row r="16" ht="27" customHeight="1">
      <c r="A16" s="3"/>
      <c r="B16" s="58" t="str">
        <v>TripleTOF 5600</v>
      </c>
      <c r="C16" s="58" t="str">
        <v>SCIEX</v>
      </c>
      <c r="D16" s="44" t="n">
        <v>1314</v>
      </c>
      <c r="E16" s="44" t="n">
        <v>683</v>
      </c>
      <c r="F16" s="40" t="n">
        <v>2013</v>
      </c>
      <c r="G16" s="40" t="n">
        <v>2013</v>
      </c>
      <c r="H16" s="40" t="n">
        <v>2015</v>
      </c>
      <c r="I16" s="80" t="n">
        <v>0.073</v>
      </c>
      <c r="J16" s="80" t="n">
        <v>0.0175</v>
      </c>
      <c r="K16" s="97" t="b">
        <v>1</v>
      </c>
      <c r="L16" s="44" t="n">
        <v>969</v>
      </c>
      <c r="M16" s="44" t="n">
        <v>518</v>
      </c>
      <c r="N16" s="62" t="n">
        <v>21</v>
      </c>
      <c r="O16" s="62" t="n">
        <v>0.631</v>
      </c>
      <c r="P16" s="62" t="n">
        <v>0.3592</v>
      </c>
      <c r="Q16" s="62" t="n">
        <v>1.0979</v>
      </c>
      <c r="R16" s="80" t="n">
        <v>0.3973</v>
      </c>
      <c r="S16" s="3"/>
    </row>
    <row r="17" ht="39" customHeight="1">
      <c r="A17" s="3"/>
      <c r="B17" s="59" t="str">
        <v>Q Exactive Plus</v>
      </c>
      <c r="C17" s="59" t="str">
        <v>Thermo Fisher</v>
      </c>
      <c r="D17" s="45" t="n">
        <v>1075</v>
      </c>
      <c r="E17" s="45" t="n">
        <v>620</v>
      </c>
      <c r="F17" s="41" t="n">
        <v>2016</v>
      </c>
      <c r="G17" s="41" t="n">
        <v>2017</v>
      </c>
      <c r="H17" s="41" t="n">
        <v>2021</v>
      </c>
      <c r="I17" s="81" t="n">
        <v>0.0472</v>
      </c>
      <c r="J17" s="81" t="n">
        <v>0.0306</v>
      </c>
      <c r="K17" s="98" t="b">
        <v>0</v>
      </c>
      <c r="L17" s="45" t="n">
        <v>905</v>
      </c>
      <c r="M17" s="45" t="n">
        <v>532</v>
      </c>
      <c r="N17" s="63" t="n">
        <v>18</v>
      </c>
      <c r="O17" s="63" t="n">
        <v>1.018</v>
      </c>
      <c r="P17" s="63" t="n">
        <v>0.587</v>
      </c>
      <c r="Q17" s="63" t="n">
        <v>1.5746</v>
      </c>
      <c r="R17" s="81" t="n">
        <v>0.032</v>
      </c>
      <c r="S17" s="3"/>
    </row>
    <row r="18" ht="27" customHeight="1">
      <c r="A18" s="3"/>
      <c r="B18" s="58" t="str">
        <v>timsTOF Pro</v>
      </c>
      <c r="C18" s="58" t="str">
        <v>Bruker</v>
      </c>
      <c r="D18" s="44" t="n">
        <v>956</v>
      </c>
      <c r="E18" s="44" t="n">
        <v>549</v>
      </c>
      <c r="F18" s="40" t="n">
        <v>2019</v>
      </c>
      <c r="G18" s="40" t="n">
        <v>2020</v>
      </c>
      <c r="H18" s="40" t="n">
        <v>2025</v>
      </c>
      <c r="I18" s="80" t="n">
        <v>0.0638</v>
      </c>
      <c r="J18" s="80" t="n">
        <v>0.0638</v>
      </c>
      <c r="K18" s="97" t="b">
        <v>0</v>
      </c>
      <c r="L18" s="44" t="n">
        <v>692</v>
      </c>
      <c r="M18" s="44" t="n">
        <v>407</v>
      </c>
      <c r="N18" s="62" t="n">
        <v>18</v>
      </c>
      <c r="O18" s="62" t="n">
        <v>2.5047</v>
      </c>
      <c r="P18" s="62" t="n">
        <v>1.5159</v>
      </c>
      <c r="Q18" s="62" t="n">
        <v>4.3163</v>
      </c>
      <c r="R18" s="80" t="n">
        <v>0.2355</v>
      </c>
      <c r="S18" s="3"/>
    </row>
    <row r="19" ht="39" customHeight="1">
      <c r="A19" s="3"/>
      <c r="B19" s="59" t="str">
        <v>Orbitrap Eclipse</v>
      </c>
      <c r="C19" s="59" t="str">
        <v>Thermo Fisher</v>
      </c>
      <c r="D19" s="45" t="n">
        <v>917</v>
      </c>
      <c r="E19" s="45" t="n">
        <v>477</v>
      </c>
      <c r="F19" s="41" t="n">
        <v>2020</v>
      </c>
      <c r="G19" s="41" t="n">
        <v>2020</v>
      </c>
      <c r="H19" s="41" t="n">
        <v>2025</v>
      </c>
      <c r="I19" s="81" t="n">
        <v>0.0584</v>
      </c>
      <c r="J19" s="81" t="n">
        <v>0.0584</v>
      </c>
      <c r="K19" s="98" t="b">
        <v>0</v>
      </c>
      <c r="L19" s="45" t="n">
        <v>755</v>
      </c>
      <c r="M19" s="45" t="n">
        <v>404</v>
      </c>
      <c r="N19" s="63" t="n">
        <v>18</v>
      </c>
      <c r="O19" s="63" t="n">
        <v>1.0574</v>
      </c>
      <c r="P19" s="63" t="n">
        <v>0.6771</v>
      </c>
      <c r="Q19" s="63" t="n">
        <v>1.6743</v>
      </c>
      <c r="R19" s="81" t="n">
        <v>0.0993</v>
      </c>
      <c r="S19" s="3"/>
    </row>
    <row r="20" ht="39" customHeight="1">
      <c r="A20" s="3"/>
      <c r="B20" s="58" t="str">
        <v>Q Exactive HF-X</v>
      </c>
      <c r="C20" s="58" t="str">
        <v>Thermo Fisher</v>
      </c>
      <c r="D20" s="44" t="n">
        <v>721</v>
      </c>
      <c r="E20" s="44" t="n">
        <v>361</v>
      </c>
      <c r="F20" s="40" t="n">
        <v>2018</v>
      </c>
      <c r="G20" s="40" t="n">
        <v>2018</v>
      </c>
      <c r="H20" s="40" t="n">
        <v>2024</v>
      </c>
      <c r="I20" s="80" t="n">
        <v>0.0299</v>
      </c>
      <c r="J20" s="80" t="n">
        <v>0.0268</v>
      </c>
      <c r="K20" s="97" t="b">
        <v>0</v>
      </c>
      <c r="L20" s="44" t="n">
        <v>564</v>
      </c>
      <c r="M20" s="44" t="n">
        <v>296</v>
      </c>
      <c r="N20" s="62" t="n">
        <v>23</v>
      </c>
      <c r="O20" s="62" t="n">
        <v>1.4402</v>
      </c>
      <c r="P20" s="62" t="n">
        <v>0.9303</v>
      </c>
      <c r="Q20" s="62" t="n">
        <v>2.1449</v>
      </c>
      <c r="R20" s="80" t="n">
        <v>0.1489</v>
      </c>
      <c r="S20" s="3"/>
    </row>
    <row r="21" ht="27" customHeight="1">
      <c r="A21" s="3"/>
      <c r="B21" s="59" t="str">
        <v>Synapt MS</v>
      </c>
      <c r="C21" s="59" t="str">
        <v>Waters</v>
      </c>
      <c r="D21" s="45" t="n">
        <v>649</v>
      </c>
      <c r="E21" s="45" t="n">
        <v>288</v>
      </c>
      <c r="F21" s="41" t="n">
        <v>2013</v>
      </c>
      <c r="G21" s="41" t="n">
        <v>2014</v>
      </c>
      <c r="H21" s="41" t="n">
        <v>2020</v>
      </c>
      <c r="I21" s="81" t="n">
        <v>0.0236</v>
      </c>
      <c r="J21" s="81" t="n">
        <v>0.0191</v>
      </c>
      <c r="K21" s="98" t="b">
        <v>1</v>
      </c>
      <c r="L21" s="45" t="n">
        <v>373</v>
      </c>
      <c r="M21" s="45" t="n">
        <v>161</v>
      </c>
      <c r="N21" s="63" t="n">
        <v>30</v>
      </c>
      <c r="O21" s="63" t="n">
        <v>2.8836</v>
      </c>
      <c r="P21" s="63" t="n">
        <v>0.9801</v>
      </c>
      <c r="Q21" s="63" t="n">
        <v>6.9255</v>
      </c>
      <c r="R21" s="81" t="n">
        <v>0.1796</v>
      </c>
      <c r="S21" s="3"/>
    </row>
    <row r="22" ht="39" customHeight="1">
      <c r="A22" s="3"/>
      <c r="B22" s="58" t="str">
        <v>LTQ</v>
      </c>
      <c r="C22" s="58" t="str">
        <v>Thermo Fisher</v>
      </c>
      <c r="D22" s="44" t="n">
        <v>325</v>
      </c>
      <c r="E22" s="44" t="n">
        <v>259</v>
      </c>
      <c r="F22" s="40" t="n">
        <v>2013</v>
      </c>
      <c r="G22" s="40" t="n">
        <v>2013</v>
      </c>
      <c r="H22" s="40" t="n">
        <v>2013</v>
      </c>
      <c r="I22" s="80" t="n">
        <v>0.0887</v>
      </c>
      <c r="J22" s="80" t="n">
        <v>0.0039</v>
      </c>
      <c r="K22" s="97" t="b">
        <v>1</v>
      </c>
      <c r="L22" s="44" t="n">
        <v>213</v>
      </c>
      <c r="M22" s="44" t="n">
        <v>168</v>
      </c>
      <c r="N22" s="62" t="n">
        <v>17</v>
      </c>
      <c r="O22" s="62" t="n">
        <v>0.1726</v>
      </c>
      <c r="P22" s="62" t="n">
        <v>0.0721</v>
      </c>
      <c r="Q22" s="62" t="n">
        <v>0.6381</v>
      </c>
      <c r="R22" s="80" t="n">
        <v>0.0094</v>
      </c>
      <c r="S22" s="3"/>
    </row>
    <row r="23" ht="27" customHeight="1">
      <c r="A23" s="3"/>
      <c r="B23" s="59" t="str">
        <v>TripleTOF 6600</v>
      </c>
      <c r="C23" s="59" t="str">
        <v>SCIEX</v>
      </c>
      <c r="D23" s="45" t="n">
        <v>323</v>
      </c>
      <c r="E23" s="45" t="n">
        <v>169</v>
      </c>
      <c r="F23" s="41" t="n">
        <v>2014</v>
      </c>
      <c r="G23" s="41" t="n">
        <v>2018</v>
      </c>
      <c r="H23" s="41" t="n">
        <v>2021</v>
      </c>
      <c r="I23" s="81" t="n">
        <v>0.0136</v>
      </c>
      <c r="J23" s="81" t="n">
        <v>0.0082</v>
      </c>
      <c r="K23" s="98" t="b">
        <v>0</v>
      </c>
      <c r="L23" s="45" t="n">
        <v>256</v>
      </c>
      <c r="M23" s="45" t="n">
        <v>147</v>
      </c>
      <c r="N23" s="63" t="n">
        <v>31.5</v>
      </c>
      <c r="O23" s="63" t="n">
        <v>0.8293</v>
      </c>
      <c r="P23" s="63" t="n">
        <v>0.455</v>
      </c>
      <c r="Q23" s="63" t="n">
        <v>1.4785</v>
      </c>
      <c r="R23" s="81" t="n">
        <v>0.6992</v>
      </c>
      <c r="S23" s="3"/>
    </row>
    <row r="24" ht="27" customHeight="1">
      <c r="A24" s="3"/>
      <c r="B24" s="58" t="str">
        <v>timsTOF Pro 2</v>
      </c>
      <c r="C24" s="58" t="str">
        <v>Bruker</v>
      </c>
      <c r="D24" s="44" t="n">
        <v>296</v>
      </c>
      <c r="E24" s="44" t="n">
        <v>182</v>
      </c>
      <c r="F24" s="40" t="n">
        <v>2022</v>
      </c>
      <c r="G24" s="40" t="n">
        <v>2022</v>
      </c>
      <c r="H24" s="40" t="n">
        <v>2025</v>
      </c>
      <c r="I24" s="80" t="n">
        <v>0.0286</v>
      </c>
      <c r="J24" s="80" t="n">
        <v>0.0286</v>
      </c>
      <c r="K24" s="97" t="b">
        <v>0</v>
      </c>
      <c r="L24" s="44" t="n">
        <v>209</v>
      </c>
      <c r="M24" s="44" t="n">
        <v>128</v>
      </c>
      <c r="N24" s="62" t="n">
        <v>18</v>
      </c>
      <c r="O24" s="62" t="n">
        <v>2.4657</v>
      </c>
      <c r="P24" s="62" t="n">
        <v>1.6487</v>
      </c>
      <c r="Q24" s="62" t="n">
        <v>3.9539</v>
      </c>
      <c r="R24" s="80" t="n">
        <v>0.5981</v>
      </c>
      <c r="S24" s="3"/>
    </row>
    <row r="25" ht="27" customHeight="1">
      <c r="A25" s="3"/>
      <c r="B25" s="59" t="str">
        <v>maXis</v>
      </c>
      <c r="C25" s="59" t="str">
        <v>Bruker</v>
      </c>
      <c r="D25" s="45" t="n">
        <v>263</v>
      </c>
      <c r="E25" s="45" t="n">
        <v>151</v>
      </c>
      <c r="F25" s="41" t="n">
        <v>2014</v>
      </c>
      <c r="G25" s="41" t="n">
        <v>2015</v>
      </c>
      <c r="H25" s="41" t="n">
        <v>2016</v>
      </c>
      <c r="I25" s="81" t="n">
        <v>0.0135</v>
      </c>
      <c r="J25" s="81" t="n">
        <v>0.0046</v>
      </c>
      <c r="K25" s="98" t="b">
        <v>0</v>
      </c>
      <c r="L25" s="45" t="n">
        <v>155</v>
      </c>
      <c r="M25" s="45" t="n">
        <v>96</v>
      </c>
      <c r="N25" s="63" t="n">
        <v>12</v>
      </c>
      <c r="O25" s="63" t="n">
        <v>1.4004</v>
      </c>
      <c r="P25" s="63" t="n">
        <v>0.7204</v>
      </c>
      <c r="Q25" s="63" t="n">
        <v>2.8664</v>
      </c>
      <c r="R25" s="81" t="n">
        <v>0.0323</v>
      </c>
      <c r="S25" s="3"/>
    </row>
    <row r="26" ht="39" customHeight="1">
      <c r="A26" s="3"/>
      <c r="B26" s="58" t="str">
        <v>LTQ Orbitrap XL</v>
      </c>
      <c r="C26" s="58" t="str">
        <v>Thermo Fisher</v>
      </c>
      <c r="D26" s="44" t="n">
        <v>218</v>
      </c>
      <c r="E26" s="44" t="n">
        <v>154</v>
      </c>
      <c r="F26" s="40" t="n">
        <v>2013</v>
      </c>
      <c r="G26" s="40" t="n">
        <v>2013</v>
      </c>
      <c r="H26" s="40" t="n">
        <v>2013</v>
      </c>
      <c r="I26" s="80" t="n">
        <v>0.0282</v>
      </c>
      <c r="J26" s="80" t="n">
        <v>0.0021</v>
      </c>
      <c r="K26" s="97" t="b">
        <v>1</v>
      </c>
      <c r="L26" s="44" t="n">
        <v>163</v>
      </c>
      <c r="M26" s="44" t="n">
        <v>115</v>
      </c>
      <c r="N26" s="62" t="n">
        <v>18</v>
      </c>
      <c r="O26" s="62" t="n">
        <v>0.3841</v>
      </c>
      <c r="P26" s="62" t="n">
        <v>0.2221</v>
      </c>
      <c r="Q26" s="62" t="n">
        <v>0.5666</v>
      </c>
      <c r="R26" s="80" t="n">
        <v>0</v>
      </c>
      <c r="S26" s="3"/>
    </row>
    <row r="27" ht="39" customHeight="1">
      <c r="A27" s="3"/>
      <c r="B27" s="59" t="str">
        <v>Orbitrap Fusion ETD</v>
      </c>
      <c r="C27" s="59" t="str">
        <v>Thermo Fisher</v>
      </c>
      <c r="D27" s="45" t="n">
        <v>208</v>
      </c>
      <c r="E27" s="45" t="n">
        <v>125</v>
      </c>
      <c r="F27" s="41" t="n">
        <v>2015</v>
      </c>
      <c r="G27" s="41" t="n">
        <v>2015</v>
      </c>
      <c r="H27" s="41" t="n">
        <v>2017</v>
      </c>
      <c r="I27" s="81" t="n">
        <v>0.0255</v>
      </c>
      <c r="J27" s="81" t="n">
        <v>0.0008</v>
      </c>
      <c r="K27" s="98" t="b">
        <v>0</v>
      </c>
      <c r="L27" s="45" t="n">
        <v>175</v>
      </c>
      <c r="M27" s="45" t="n">
        <v>108</v>
      </c>
      <c r="N27" s="63" t="n">
        <v>24</v>
      </c>
      <c r="O27" s="63" t="n">
        <v>1.0837</v>
      </c>
      <c r="P27" s="63" t="n">
        <v>0.5841</v>
      </c>
      <c r="Q27" s="63" t="n">
        <v>1.9702</v>
      </c>
      <c r="R27" s="81" t="n">
        <v>0.0057</v>
      </c>
      <c r="S27" s="3"/>
    </row>
    <row r="28" ht="39" customHeight="1">
      <c r="A28" s="3"/>
      <c r="B28" s="58" t="str">
        <v>Orbitrap Astral</v>
      </c>
      <c r="C28" s="58" t="str">
        <v>Thermo Fisher</v>
      </c>
      <c r="D28" s="44" t="n">
        <v>173</v>
      </c>
      <c r="E28" s="44" t="n">
        <v>108</v>
      </c>
      <c r="F28" s="40" t="n">
        <v>2024</v>
      </c>
      <c r="G28" s="40" t="n">
        <v>2024</v>
      </c>
      <c r="H28" s="40" t="n">
        <v>2025</v>
      </c>
      <c r="I28" s="80" t="n">
        <v>0.0254</v>
      </c>
      <c r="J28" s="80" t="n">
        <v>0.0254</v>
      </c>
      <c r="K28" s="97" t="b">
        <v>0</v>
      </c>
      <c r="L28" s="44" t="n">
        <v>131</v>
      </c>
      <c r="M28" s="44" t="n">
        <v>80</v>
      </c>
      <c r="N28" s="62" t="n">
        <v>23</v>
      </c>
      <c r="O28" s="62" t="n">
        <v>3.9549</v>
      </c>
      <c r="P28" s="62" t="n">
        <v>2.3214</v>
      </c>
      <c r="Q28" s="62" t="n">
        <v>7.7589</v>
      </c>
      <c r="R28" s="80" t="n">
        <v>0.7863</v>
      </c>
      <c r="S28" s="3"/>
    </row>
    <row r="29" ht="39" customHeight="1">
      <c r="A29" s="3"/>
      <c r="B29" s="59" t="str">
        <v>Orbitrap Exploris 240</v>
      </c>
      <c r="C29" s="59" t="str">
        <v>Thermo Fisher</v>
      </c>
      <c r="D29" s="45" t="n">
        <v>171</v>
      </c>
      <c r="E29" s="45" t="n">
        <v>115</v>
      </c>
      <c r="F29" s="41" t="n">
        <v>2022</v>
      </c>
      <c r="G29" s="41" t="n">
        <v>2022</v>
      </c>
      <c r="H29" s="41" t="n">
        <v>2025</v>
      </c>
      <c r="I29" s="81" t="n">
        <v>0.0136</v>
      </c>
      <c r="J29" s="81" t="n">
        <v>0.0136</v>
      </c>
      <c r="K29" s="98" t="b">
        <v>0</v>
      </c>
      <c r="L29" s="45" t="n">
        <v>149</v>
      </c>
      <c r="M29" s="45" t="n">
        <v>102</v>
      </c>
      <c r="N29" s="63" t="n">
        <v>15</v>
      </c>
      <c r="O29" s="63" t="n">
        <v>1.0309</v>
      </c>
      <c r="P29" s="63" t="n">
        <v>0.6776</v>
      </c>
      <c r="Q29" s="63" t="n">
        <v>1.4204</v>
      </c>
      <c r="R29" s="81" t="n">
        <v>0.1342</v>
      </c>
      <c r="S29" s="3"/>
    </row>
    <row r="30" ht="39" customHeight="1">
      <c r="A30" s="3"/>
      <c r="B30" s="58" t="str">
        <v>LTQ FT</v>
      </c>
      <c r="C30" s="58" t="str">
        <v>Thermo Fisher</v>
      </c>
      <c r="D30" s="44" t="n">
        <v>147</v>
      </c>
      <c r="E30" s="44" t="n">
        <v>96</v>
      </c>
      <c r="F30" s="40" t="n">
        <v>2013</v>
      </c>
      <c r="G30" s="40" t="n">
        <v>2013</v>
      </c>
      <c r="H30" s="40" t="n">
        <v>2016</v>
      </c>
      <c r="I30" s="80" t="n">
        <v>0.0203</v>
      </c>
      <c r="J30" s="80" t="n">
        <v>0.0021</v>
      </c>
      <c r="K30" s="97" t="b">
        <v>1</v>
      </c>
      <c r="L30" s="44" t="n">
        <v>92</v>
      </c>
      <c r="M30" s="44" t="n">
        <v>68</v>
      </c>
      <c r="N30" s="62" t="n">
        <v>40</v>
      </c>
      <c r="O30" s="62" t="n">
        <v>0.2382</v>
      </c>
      <c r="P30" s="62" t="n">
        <v>0.1425</v>
      </c>
      <c r="Q30" s="62" t="n">
        <v>0.6053</v>
      </c>
      <c r="R30" s="80" t="n">
        <v>0.0326</v>
      </c>
      <c r="S30" s="3"/>
    </row>
    <row r="31" ht="27" customHeight="1">
      <c r="A31" s="3"/>
      <c r="B31" s="59" t="str">
        <v>ultraflex</v>
      </c>
      <c r="C31" s="59" t="str">
        <v>Bruker</v>
      </c>
      <c r="D31" s="45" t="n">
        <v>127</v>
      </c>
      <c r="E31" s="45" t="n">
        <v>92</v>
      </c>
      <c r="F31" s="41" t="n">
        <v>2013</v>
      </c>
      <c r="G31" s="41" t="n">
        <v>2015</v>
      </c>
      <c r="H31" s="41" t="n">
        <v>2015</v>
      </c>
      <c r="I31" s="81" t="n">
        <v>0.0115</v>
      </c>
      <c r="J31" s="81" t="n">
        <v>0.0036</v>
      </c>
      <c r="K31" s="98" t="b">
        <v>1</v>
      </c>
      <c r="L31" s="45"/>
      <c r="M31" s="45"/>
      <c r="N31" s="63"/>
      <c r="O31" s="63"/>
      <c r="P31" s="63"/>
      <c r="Q31" s="63"/>
      <c r="R31" s="81"/>
      <c r="S31" s="3"/>
    </row>
    <row r="32" ht="27" customHeight="1">
      <c r="A32" s="3"/>
      <c r="B32" s="58" t="str">
        <v>6520A Quadrupole Time-of-Flight LC/MS</v>
      </c>
      <c r="C32" s="58" t="str">
        <v>Agilent</v>
      </c>
      <c r="D32" s="44" t="n">
        <v>114</v>
      </c>
      <c r="E32" s="44" t="n">
        <v>77</v>
      </c>
      <c r="F32" s="40" t="n">
        <v>2013</v>
      </c>
      <c r="G32" s="40" t="n">
        <v>2014</v>
      </c>
      <c r="H32" s="40" t="n">
        <v>2014</v>
      </c>
      <c r="I32" s="80" t="n">
        <v>0.0127</v>
      </c>
      <c r="J32" s="80" t="n">
        <v>0.0018</v>
      </c>
      <c r="K32" s="97" t="b">
        <v>1</v>
      </c>
      <c r="L32" s="44"/>
      <c r="M32" s="44"/>
      <c r="N32" s="62"/>
      <c r="O32" s="62"/>
      <c r="P32" s="62"/>
      <c r="Q32" s="62"/>
      <c r="R32" s="80"/>
      <c r="S32" s="3"/>
    </row>
    <row r="33" ht="27" customHeight="1">
      <c r="A33" s="3"/>
      <c r="B33" s="59" t="str">
        <v>timsTOF HT</v>
      </c>
      <c r="C33" s="59" t="str">
        <v>Bruker</v>
      </c>
      <c r="D33" s="45" t="n">
        <v>102</v>
      </c>
      <c r="E33" s="45" t="n">
        <v>68</v>
      </c>
      <c r="F33" s="41" t="n">
        <v>2024</v>
      </c>
      <c r="G33" s="41" t="n">
        <v>2024</v>
      </c>
      <c r="H33" s="41" t="n">
        <v>2025</v>
      </c>
      <c r="I33" s="81" t="n">
        <v>0.0157</v>
      </c>
      <c r="J33" s="81" t="n">
        <v>0.0157</v>
      </c>
      <c r="K33" s="98" t="b">
        <v>0</v>
      </c>
      <c r="L33" s="45" t="n">
        <v>53</v>
      </c>
      <c r="M33" s="45" t="n">
        <v>41</v>
      </c>
      <c r="N33" s="63" t="n">
        <v>17</v>
      </c>
      <c r="O33" s="63" t="n">
        <v>2.3324</v>
      </c>
      <c r="P33" s="63" t="n">
        <v>0.9147</v>
      </c>
      <c r="Q33" s="63" t="n">
        <v>4.2324</v>
      </c>
      <c r="R33" s="81" t="n">
        <v>0.6792</v>
      </c>
      <c r="S33" s="3"/>
    </row>
    <row r="34" ht="27" customHeight="1">
      <c r="A34" s="3"/>
      <c r="B34" s="58" t="str">
        <v>impact II</v>
      </c>
      <c r="C34" s="58" t="str">
        <v>Bruker</v>
      </c>
      <c r="D34" s="44" t="n">
        <v>98</v>
      </c>
      <c r="E34" s="44" t="n">
        <v>58</v>
      </c>
      <c r="F34" s="40" t="n">
        <v>2016</v>
      </c>
      <c r="G34" s="40" t="n">
        <v>2018</v>
      </c>
      <c r="H34" s="40" t="n">
        <v>2020</v>
      </c>
      <c r="I34" s="80" t="n">
        <v>0.0054</v>
      </c>
      <c r="J34" s="80" t="n">
        <v>0.0018</v>
      </c>
      <c r="K34" s="97" t="b">
        <v>0</v>
      </c>
      <c r="L34" s="44" t="n">
        <v>64</v>
      </c>
      <c r="M34" s="44" t="n">
        <v>39</v>
      </c>
      <c r="N34" s="62" t="n">
        <v>18</v>
      </c>
      <c r="O34" s="62" t="n">
        <v>2.0211</v>
      </c>
      <c r="P34" s="62" t="n">
        <v>1.1808</v>
      </c>
      <c r="Q34" s="62" t="n">
        <v>3.6649</v>
      </c>
      <c r="R34" s="80" t="n">
        <v>0.0625</v>
      </c>
      <c r="S34" s="3"/>
    </row>
    <row r="35" ht="27" customHeight="1">
      <c r="A35" s="3"/>
      <c r="B35" s="59" t="str">
        <v>QSTAR</v>
      </c>
      <c r="C35" s="59" t="str">
        <v>SCIEX</v>
      </c>
      <c r="D35" s="45" t="n">
        <v>98</v>
      </c>
      <c r="E35" s="45" t="n">
        <v>60</v>
      </c>
      <c r="F35" s="41" t="n">
        <v>2013</v>
      </c>
      <c r="G35" s="41" t="n">
        <v>2014</v>
      </c>
      <c r="H35" s="41" t="n">
        <v>2014</v>
      </c>
      <c r="I35" s="81" t="n">
        <v>0.0425</v>
      </c>
      <c r="J35" s="81" t="n">
        <v>0.0003</v>
      </c>
      <c r="K35" s="98" t="b">
        <v>1</v>
      </c>
      <c r="L35" s="45" t="n">
        <v>63</v>
      </c>
      <c r="M35" s="45" t="n">
        <v>36</v>
      </c>
      <c r="N35" s="63" t="n">
        <v>48</v>
      </c>
      <c r="O35" s="63" t="n">
        <v>0.0742</v>
      </c>
      <c r="P35" s="63" t="n">
        <v>0.0503</v>
      </c>
      <c r="Q35" s="63" t="n">
        <v>0.1221</v>
      </c>
      <c r="R35" s="81" t="n">
        <v>0.0159</v>
      </c>
      <c r="S35" s="3"/>
    </row>
    <row r="36" ht="27" customHeight="1">
      <c r="A36" s="3"/>
      <c r="B36" s="58" t="str">
        <v>autoflex</v>
      </c>
      <c r="C36" s="58" t="str">
        <v>Bruker</v>
      </c>
      <c r="D36" s="44" t="n">
        <v>95</v>
      </c>
      <c r="E36" s="44" t="n">
        <v>72</v>
      </c>
      <c r="F36" s="40" t="n">
        <v>2014</v>
      </c>
      <c r="G36" s="40" t="n">
        <v>2018</v>
      </c>
      <c r="H36" s="40" t="n">
        <v>2025</v>
      </c>
      <c r="I36" s="80" t="n">
        <v>0.0043</v>
      </c>
      <c r="J36" s="80" t="n">
        <v>0.0043</v>
      </c>
      <c r="K36" s="97" t="b">
        <v>0</v>
      </c>
      <c r="L36" s="44"/>
      <c r="M36" s="44"/>
      <c r="N36" s="62"/>
      <c r="O36" s="62"/>
      <c r="P36" s="62"/>
      <c r="Q36" s="62"/>
      <c r="R36" s="80"/>
      <c r="S36" s="3"/>
    </row>
    <row r="37" ht="39" customHeight="1">
      <c r="A37" s="3"/>
      <c r="B37" s="59" t="str">
        <v>Orbitrap Ascend</v>
      </c>
      <c r="C37" s="59" t="str">
        <v>Thermo Fisher</v>
      </c>
      <c r="D37" s="45" t="n">
        <v>87</v>
      </c>
      <c r="E37" s="45" t="n">
        <v>54</v>
      </c>
      <c r="F37" s="41" t="n">
        <v>2024</v>
      </c>
      <c r="G37" s="41" t="n">
        <v>2024</v>
      </c>
      <c r="H37" s="41" t="n">
        <v>2025</v>
      </c>
      <c r="I37" s="81" t="n">
        <v>0.0124</v>
      </c>
      <c r="J37" s="81" t="n">
        <v>0.0124</v>
      </c>
      <c r="K37" s="98" t="b">
        <v>0</v>
      </c>
      <c r="L37" s="45" t="n">
        <v>63</v>
      </c>
      <c r="M37" s="45" t="n">
        <v>39</v>
      </c>
      <c r="N37" s="63" t="n">
        <v>16</v>
      </c>
      <c r="O37" s="63" t="n">
        <v>1.0549</v>
      </c>
      <c r="P37" s="63" t="n">
        <v>0.7361</v>
      </c>
      <c r="Q37" s="63" t="n">
        <v>1.3047</v>
      </c>
      <c r="R37" s="81" t="n">
        <v>0.2698</v>
      </c>
      <c r="S37" s="3"/>
    </row>
    <row r="38" ht="39" customHeight="1">
      <c r="A38" s="3"/>
      <c r="B38" s="58" t="str">
        <v>4800 Proteomics Analyzer</v>
      </c>
      <c r="C38" s="58" t="str">
        <v>Applied Biosystems</v>
      </c>
      <c r="D38" s="44" t="n">
        <v>83</v>
      </c>
      <c r="E38" s="44" t="n">
        <v>72</v>
      </c>
      <c r="F38" s="40" t="n">
        <v>2013</v>
      </c>
      <c r="G38" s="40" t="n">
        <v>2013</v>
      </c>
      <c r="H38" s="40" t="n">
        <v>2013</v>
      </c>
      <c r="I38" s="80" t="n">
        <v>0.0282</v>
      </c>
      <c r="J38" s="80" t="n">
        <v>0.0015</v>
      </c>
      <c r="K38" s="97" t="b">
        <v>1</v>
      </c>
      <c r="L38" s="44"/>
      <c r="M38" s="44"/>
      <c r="N38" s="62"/>
      <c r="O38" s="62"/>
      <c r="P38" s="62"/>
      <c r="Q38" s="62"/>
      <c r="R38" s="80"/>
      <c r="S38" s="3"/>
    </row>
    <row r="39" ht="27" customHeight="1">
      <c r="A39" s="3"/>
      <c r="B39" s="59" t="str">
        <v>timsTOF</v>
      </c>
      <c r="C39" s="59" t="str">
        <v>Bruker</v>
      </c>
      <c r="D39" s="45" t="n">
        <v>68</v>
      </c>
      <c r="E39" s="45" t="n">
        <v>53</v>
      </c>
      <c r="F39" s="41" t="n">
        <v>2022</v>
      </c>
      <c r="G39" s="41" t="n">
        <v>2023</v>
      </c>
      <c r="H39" s="41" t="n">
        <v>2025</v>
      </c>
      <c r="I39" s="81" t="n">
        <v>0.0047</v>
      </c>
      <c r="J39" s="81" t="n">
        <v>0.0047</v>
      </c>
      <c r="K39" s="98" t="b">
        <v>0</v>
      </c>
      <c r="L39" s="45"/>
      <c r="M39" s="45"/>
      <c r="N39" s="63"/>
      <c r="O39" s="63"/>
      <c r="P39" s="63"/>
      <c r="Q39" s="63"/>
      <c r="R39" s="81"/>
      <c r="S39" s="3"/>
    </row>
    <row r="40" ht="27" customHeight="1">
      <c r="A40" s="3"/>
      <c r="B40" s="58" t="str">
        <v>SYNAPT G2-Si</v>
      </c>
      <c r="C40" s="58" t="str">
        <v>Waters</v>
      </c>
      <c r="D40" s="44" t="n">
        <v>64</v>
      </c>
      <c r="E40" s="44" t="n">
        <v>43</v>
      </c>
      <c r="F40" s="40" t="n">
        <v>2017</v>
      </c>
      <c r="G40" s="40" t="n">
        <v>2019</v>
      </c>
      <c r="H40" s="40" t="n">
        <v>2025</v>
      </c>
      <c r="I40" s="80" t="n">
        <v>0.0034</v>
      </c>
      <c r="J40" s="80" t="n">
        <v>0.0034</v>
      </c>
      <c r="K40" s="97" t="b">
        <v>0</v>
      </c>
      <c r="L40" s="44"/>
      <c r="M40" s="44"/>
      <c r="N40" s="62"/>
      <c r="O40" s="62"/>
      <c r="P40" s="62"/>
      <c r="Q40" s="62"/>
      <c r="R40" s="80"/>
      <c r="S40" s="3"/>
    </row>
    <row r="41" ht="27" customHeight="1">
      <c r="A41" s="3"/>
      <c r="B41" s="59" t="str">
        <v>impact HD</v>
      </c>
      <c r="C41" s="59" t="str">
        <v>Bruker</v>
      </c>
      <c r="D41" s="45" t="n">
        <v>63</v>
      </c>
      <c r="E41" s="45" t="n">
        <v>14</v>
      </c>
      <c r="F41" s="41" t="n">
        <v>2018</v>
      </c>
      <c r="G41" s="41" t="n">
        <v>2019</v>
      </c>
      <c r="H41" s="41" t="n">
        <v>2023</v>
      </c>
      <c r="I41" s="81" t="n">
        <v>0.0029</v>
      </c>
      <c r="J41" s="81" t="n">
        <v>0.0021</v>
      </c>
      <c r="K41" s="98" t="b">
        <v>0</v>
      </c>
      <c r="L41" s="45"/>
      <c r="M41" s="45"/>
      <c r="N41" s="63"/>
      <c r="O41" s="63"/>
      <c r="P41" s="63"/>
      <c r="Q41" s="63"/>
      <c r="R41" s="81"/>
      <c r="S41" s="3"/>
    </row>
    <row r="42" ht="27" customHeight="1">
      <c r="A42" s="3"/>
      <c r="B42" s="58" t="str">
        <v>Q-Tof Ultima</v>
      </c>
      <c r="C42" s="58" t="str">
        <v>Waters</v>
      </c>
      <c r="D42" s="44" t="n">
        <v>62</v>
      </c>
      <c r="E42" s="44" t="n">
        <v>47</v>
      </c>
      <c r="F42" s="40" t="n">
        <v>2013</v>
      </c>
      <c r="G42" s="40" t="n">
        <v>2016</v>
      </c>
      <c r="H42" s="40" t="n">
        <v>2013</v>
      </c>
      <c r="I42" s="80" t="n">
        <v>0.0081</v>
      </c>
      <c r="J42" s="80" t="n">
        <v>0.002</v>
      </c>
      <c r="K42" s="97" t="b">
        <v>1</v>
      </c>
      <c r="L42" s="44"/>
      <c r="M42" s="44"/>
      <c r="N42" s="62"/>
      <c r="O42" s="62"/>
      <c r="P42" s="62"/>
      <c r="Q42" s="62"/>
      <c r="R42" s="80"/>
      <c r="S42" s="3"/>
    </row>
    <row r="43" ht="27" customHeight="1">
      <c r="A43" s="3"/>
      <c r="B43" s="59" t="str">
        <v>timsTOF SCP</v>
      </c>
      <c r="C43" s="59" t="str">
        <v>Bruker</v>
      </c>
      <c r="D43" s="45" t="n">
        <v>61</v>
      </c>
      <c r="E43" s="45" t="n">
        <v>34</v>
      </c>
      <c r="F43" s="41" t="n">
        <v>2023</v>
      </c>
      <c r="G43" s="41" t="n">
        <v>2023</v>
      </c>
      <c r="H43" s="41" t="n">
        <v>2025</v>
      </c>
      <c r="I43" s="81" t="n">
        <v>0.0051</v>
      </c>
      <c r="J43" s="81" t="n">
        <v>0.0051</v>
      </c>
      <c r="K43" s="98" t="b">
        <v>0</v>
      </c>
      <c r="L43" s="45"/>
      <c r="M43" s="45"/>
      <c r="N43" s="63"/>
      <c r="O43" s="63"/>
      <c r="P43" s="63"/>
      <c r="Q43" s="63"/>
      <c r="R43" s="81"/>
      <c r="S43" s="3"/>
    </row>
    <row r="44" ht="27" customHeight="1">
      <c r="A44" s="3"/>
      <c r="B44" s="76" t="str">
        <v>Q TRAP</v>
      </c>
      <c r="C44" s="76" t="str">
        <v>SCIEX</v>
      </c>
      <c r="D44" s="51" t="n">
        <v>55</v>
      </c>
      <c r="E44" s="51" t="n">
        <v>40</v>
      </c>
      <c r="F44" s="50" t="n">
        <v>2014</v>
      </c>
      <c r="G44" s="50" t="n">
        <v>2016</v>
      </c>
      <c r="H44" s="50" t="n">
        <v>2016</v>
      </c>
      <c r="I44" s="88" t="n">
        <v>0.0068</v>
      </c>
      <c r="J44" s="88" t="n">
        <v>0.0011</v>
      </c>
      <c r="K44" s="99" t="b">
        <v>0</v>
      </c>
      <c r="L44" s="51"/>
      <c r="M44" s="51"/>
      <c r="N44" s="86"/>
      <c r="O44" s="86"/>
      <c r="P44" s="86"/>
      <c r="Q44" s="86"/>
      <c r="R44" s="88"/>
      <c r="S44" s="3"/>
    </row>
    <row r="45" ht="23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23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23" customHeight="1">
      <c r="A47" s="3"/>
      <c r="B47" s="53" t="str">
        <v>Table scope</v>
      </c>
      <c r="C47" s="5"/>
      <c r="D47" s="5"/>
      <c r="E47" s="5"/>
      <c r="F47" s="5"/>
      <c r="G47" s="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27" customHeight="1">
      <c r="A48" s="3"/>
      <c r="B48" s="12" t="str">
        <v>Instrument models: datasets, life cycle and run size (Figs 2d, 3a; Supplementary Figs 2–3)</v>
      </c>
      <c r="C48" s="12"/>
      <c r="D48" s="12"/>
      <c r="E48" s="12"/>
      <c r="F48" s="12"/>
      <c r="G48" s="1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23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23" customHeight="1">
      <c r="A50" s="3"/>
      <c r="B50" s="53" t="str">
        <v>Definition</v>
      </c>
      <c r="C50" s="5"/>
      <c r="D50" s="5"/>
      <c r="E50" s="5"/>
      <c r="F50" s="5"/>
      <c r="G50" s="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62" customHeight="1">
      <c r="A51" s="3"/>
      <c r="B51" s="12" t="str">
        <v>Models named in ≥50 datasets. peak_share and share_2025 are unweighted proportions of model-labelled datasets naming the model; a dataset naming several models counts once for each. peak_year_share is the year of the largest unweighted proportion. These differ from the fractional-credit shares in Fig. 3a and Supplementary Fig. 2. first_year_any and first_year_ge5 use ≥1 and ≥5 datasets, respectively; Supplementary Fig. 2 orders models by the first year with ≥3 datasets. datasets/groups_total count all deposits/groups naming the model. run_size_datasets/run_size_groups count the single-model subset with exact run counts and positive resolved bytes per run; summaries require ≥50 eligible datasets. Within this subset, median_runs is the median exact run count; median_per_run_GB and p25/p75 are the median and 25th/75th percentiles of dataset-level resolved bytes divided by exact run count, in GB (10^9 bytes); dia_share is the fraction with DIA detected. Blank run-size fields mean the model did not meet the subset threshold. A deposited label is not an ownership record.</v>
      </c>
      <c r="C51" s="12"/>
      <c r="D51" s="12"/>
      <c r="E51" s="12"/>
      <c r="F51" s="12"/>
      <c r="G51" s="1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23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23" customHeight="1">
      <c r="A53" s="3"/>
      <c r="B53" s="53" t="str">
        <v>Source</v>
      </c>
      <c r="C53" s="5"/>
      <c r="D53" s="5"/>
      <c r="E53" s="5"/>
      <c r="F53" s="5"/>
      <c r="G53" s="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27" customHeight="1">
      <c r="A54" s="3"/>
      <c r="B54" s="12" t="str">
        <v>Arsenal/H1-H3-scale-instruments/H3-model-life-cycles.csv; H1-per-run-size-by-model.csv</v>
      </c>
      <c r="C54" s="12"/>
      <c r="D54" s="12"/>
      <c r="E54" s="12"/>
      <c r="F54" s="12"/>
      <c r="G54" s="1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23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23" customHeight="1">
      <c r="A56" s="3"/>
      <c r="B56" s="53" t="str">
        <v>Original column names</v>
      </c>
      <c r="C56" s="5"/>
      <c r="D56" s="5"/>
      <c r="E56" s="5"/>
      <c r="F56" s="5"/>
      <c r="G56" s="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42" customHeight="1">
      <c r="A57" s="3"/>
      <c r="B57" s="12" t="str">
        <v>model, vendor, datasets, groups_total, first_year_any, first_year_ge5, peak_year_share, peak_share, share_2025, left_censored, run_size_datasets, run_size_groups, median_runs, median_per_run_GB, p25, p75, dia_share</v>
      </c>
      <c r="C57" s="12"/>
      <c r="D57" s="12"/>
      <c r="E57" s="12"/>
      <c r="F57" s="12"/>
      <c r="G57" s="1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23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23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23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23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23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23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23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23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23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23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23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23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</sheetData>
  <mergeCells>
    <mergeCell ref="B2:G2"/>
    <mergeCell ref="B3:G3"/>
    <mergeCell ref="B4:G4"/>
    <mergeCell ref="B47:G47"/>
    <mergeCell ref="B48:G48"/>
    <mergeCell ref="B50:G50"/>
    <mergeCell ref="B51:G51"/>
    <mergeCell ref="B53:G53"/>
    <mergeCell ref="B54:G54"/>
    <mergeCell ref="B56:G56"/>
    <mergeCell ref="B57:G57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8" orientation="landscape" scale="90" useFirstPageNumber="0"/>
  <headerFooter>
    <oddFooter>&amp;LPRIDE supplementary tables&amp;CS7&amp;RPage &amp;P of &amp;N</oddFooter>
  </headerFooter>
  <tableParts count="1">
    <tablePart ns1:id="R92170317539a436e"/>
  </tableParts>
</worksheet>
</file>

<file path=xl/worksheets/sheet9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3" ySplit="7" topLeftCell="D8" activePane="bottomRight" state="frozen"/>
    </sheetView>
  </sheetViews>
  <sheetFormatPr defaultRowHeight="15"/>
  <cols>
    <col min="1" max="1" width="3" hidden="0" customWidth="1"/>
    <col min="2" max="2" width="39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5" hidden="0" customWidth="1"/>
    <col min="11" max="11" width="15" hidden="0" customWidth="1"/>
    <col min="12" max="12" width="14" hidden="0" customWidth="1"/>
    <col min="13" max="13" width="15" hidden="0" customWidth="1"/>
    <col min="14" max="14" width="15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  <col min="19" max="19" width="16" hidden="0" customWidth="1"/>
    <col min="20" max="20" width="16" hidden="0" customWidth="1"/>
    <col min="21" max="21" width="14" hidden="0" customWidth="1"/>
    <col min="22" max="22" width="16" hidden="0" customWidth="1"/>
    <col min="23" max="23" width="16" hidden="0" customWidth="1"/>
    <col min="24" max="24" width="18" hidden="0" customWidth="1"/>
    <col min="25" max="25" width="23" hidden="0" customWidth="1"/>
    <col min="26" max="26" width="23" hidden="0" customWidth="1"/>
    <col min="27" max="27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3" customHeight="1">
      <c r="A2" s="3"/>
      <c r="B2" s="5" t="str">
        <v>SUPPLEMENTARY TABLE S8</v>
      </c>
      <c r="C2" s="5"/>
      <c r="D2" s="5"/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30" customHeight="1">
      <c r="A3" s="3"/>
      <c r="B3" s="7" t="str">
        <v>Raw-run counts and sensitivity analyses</v>
      </c>
      <c r="C3" s="7"/>
      <c r="D3" s="7"/>
      <c r="E3" s="7"/>
      <c r="F3" s="7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9" customHeight="1">
      <c r="A4" s="3"/>
      <c r="B4" s="12" t="str">
        <v>Early and later release periods are shown for each comparison. Run counts are not sample counts.</v>
      </c>
      <c r="C4" s="12"/>
      <c r="D4" s="12"/>
      <c r="E4" s="12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3" customHeight="1">
      <c r="A5" s="3"/>
      <c r="B5" s="28"/>
      <c r="C5" s="28"/>
      <c r="D5" s="28"/>
      <c r="E5" s="28"/>
      <c r="F5" s="28"/>
      <c r="G5" s="2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54" customHeight="1">
      <c r="A7" s="3"/>
      <c r="B7" s="35" t="str">
        <v>Comparison</v>
      </c>
      <c r="C7" s="36" t="str">
        <v>Early period</v>
      </c>
      <c r="D7" s="36" t="str">
        <v>Later period</v>
      </c>
      <c r="E7" s="36" t="str">
        <v>Datasets, early</v>
      </c>
      <c r="F7" s="36" t="str">
        <v>Datasets, later</v>
      </c>
      <c r="G7" s="36" t="str">
        <v>Groups early</v>
      </c>
      <c r="H7" s="36" t="str">
        <v>Groups later</v>
      </c>
      <c r="I7" s="36" t="str">
        <v>Median runs, early</v>
      </c>
      <c r="J7" s="36" t="str">
        <v>Median runs, early, lower 95%</v>
      </c>
      <c r="K7" s="36" t="str">
        <v>Median runs, early, upper 95%</v>
      </c>
      <c r="L7" s="36" t="str">
        <v>Median runs, later</v>
      </c>
      <c r="M7" s="36" t="str">
        <v>Median runs, later, lower 95%</v>
      </c>
      <c r="N7" s="36" t="str">
        <v>Median runs, later, upper 95%</v>
      </c>
      <c r="O7" s="36" t="str">
        <v>Median ratio</v>
      </c>
      <c r="P7" s="36" t="str">
        <v>Median ratio lower 95%</v>
      </c>
      <c r="Q7" s="36" t="str">
        <v>Median ratio upper 95%</v>
      </c>
      <c r="R7" s="36" t="str">
        <v>≥100 runs, early (%)</v>
      </c>
      <c r="S7" s="36" t="str">
        <v>≥100 runs, early, lower 95% (%)</v>
      </c>
      <c r="T7" s="36" t="str">
        <v>≥100 runs, early, upper 95% (%)</v>
      </c>
      <c r="U7" s="36" t="str">
        <v>≥100 runs, later (%)</v>
      </c>
      <c r="V7" s="36" t="str">
        <v>≥100 runs, later, lower 95% (%)</v>
      </c>
      <c r="W7" s="36" t="str">
        <v>≥100 runs, later, upper 95% (%)</v>
      </c>
      <c r="X7" s="36" t="str">
        <v>Change in ≥100-run share (fraction)</v>
      </c>
      <c r="Y7" s="36" t="str">
        <v>Change in ≥100-run share, lower 95% (fraction)</v>
      </c>
      <c r="Z7" s="36" t="str">
        <v>Change in ≥100-run share, upper 95% (fraction)</v>
      </c>
      <c r="AA7" s="37" t="str">
        <v>Stratum</v>
      </c>
      <c r="AB7" s="3"/>
    </row>
    <row r="8" ht="39" customHeight="1">
      <c r="A8" s="3"/>
      <c r="B8" s="58" t="str">
        <v>all datasets with runs (claim population)</v>
      </c>
      <c r="C8" s="58" t="str">
        <v>2013-2016</v>
      </c>
      <c r="D8" s="58" t="str">
        <v>2023-2025</v>
      </c>
      <c r="E8" s="44" t="n">
        <v>2498</v>
      </c>
      <c r="F8" s="44" t="n">
        <v>15248</v>
      </c>
      <c r="G8" s="44" t="n">
        <v>1322</v>
      </c>
      <c r="H8" s="44" t="n">
        <v>7308</v>
      </c>
      <c r="I8" s="62" t="n">
        <v>30</v>
      </c>
      <c r="J8" s="64" t="n">
        <v>27</v>
      </c>
      <c r="K8" s="64" t="n">
        <v>34</v>
      </c>
      <c r="L8" s="62" t="n">
        <v>16</v>
      </c>
      <c r="M8" s="64" t="n">
        <v>16</v>
      </c>
      <c r="N8" s="64" t="n">
        <v>18</v>
      </c>
      <c r="O8" s="62" t="n">
        <v>0.5333</v>
      </c>
      <c r="P8" s="64" t="n">
        <v>0.4848</v>
      </c>
      <c r="Q8" s="64" t="n">
        <v>0.6296</v>
      </c>
      <c r="R8" s="80" t="n">
        <v>0.1982</v>
      </c>
      <c r="S8" s="82" t="n">
        <v>0.1737</v>
      </c>
      <c r="T8" s="82" t="n">
        <v>0.2258</v>
      </c>
      <c r="U8" s="80" t="n">
        <v>0.0902</v>
      </c>
      <c r="V8" s="82" t="n">
        <v>0.083</v>
      </c>
      <c r="W8" s="82" t="n">
        <v>0.0974</v>
      </c>
      <c r="X8" s="102" t="n">
        <v>-0.1079</v>
      </c>
      <c r="Y8" s="104" t="n">
        <v>-0.1365</v>
      </c>
      <c r="Z8" s="104" t="n">
        <v>-0.0837</v>
      </c>
      <c r="AA8" s="58"/>
      <c r="AB8" s="3"/>
    </row>
    <row r="9" ht="27" customHeight="1">
      <c r="A9" s="3"/>
      <c r="B9" s="59" t="str">
        <v>exact counts only</v>
      </c>
      <c r="C9" s="59" t="str">
        <v>2013-2016</v>
      </c>
      <c r="D9" s="59" t="str">
        <v>2023-2025</v>
      </c>
      <c r="E9" s="45" t="n">
        <v>2307</v>
      </c>
      <c r="F9" s="45" t="n">
        <v>14307</v>
      </c>
      <c r="G9" s="45" t="n">
        <v>1213</v>
      </c>
      <c r="H9" s="45" t="n">
        <v>6930</v>
      </c>
      <c r="I9" s="63" t="n">
        <v>32</v>
      </c>
      <c r="J9" s="65" t="n">
        <v>30</v>
      </c>
      <c r="K9" s="65" t="n">
        <v>36</v>
      </c>
      <c r="L9" s="63" t="n">
        <v>18</v>
      </c>
      <c r="M9" s="65" t="n">
        <v>18</v>
      </c>
      <c r="N9" s="65" t="n">
        <v>18</v>
      </c>
      <c r="O9" s="63" t="n">
        <v>0.5625</v>
      </c>
      <c r="P9" s="65" t="n">
        <v>0.5</v>
      </c>
      <c r="Q9" s="65" t="n">
        <v>0.6</v>
      </c>
      <c r="R9" s="81" t="n">
        <v>0.2094</v>
      </c>
      <c r="S9" s="83" t="n">
        <v>0.1845</v>
      </c>
      <c r="T9" s="83" t="n">
        <v>0.238</v>
      </c>
      <c r="U9" s="81" t="n">
        <v>0.0947</v>
      </c>
      <c r="V9" s="83" t="n">
        <v>0.0879</v>
      </c>
      <c r="W9" s="83" t="n">
        <v>0.1024</v>
      </c>
      <c r="X9" s="103" t="n">
        <v>-0.1147</v>
      </c>
      <c r="Y9" s="105" t="n">
        <v>-0.1436</v>
      </c>
      <c r="Z9" s="105" t="n">
        <v>-0.0888</v>
      </c>
      <c r="AA9" s="59"/>
      <c r="AB9" s="3"/>
    </row>
    <row r="10" ht="27" customHeight="1">
      <c r="A10" s="3"/>
      <c r="B10" s="58" t="str">
        <v>grain: dataset (all)</v>
      </c>
      <c r="C10" s="58" t="str">
        <v>2013-2016</v>
      </c>
      <c r="D10" s="58" t="str">
        <v>2023-2025</v>
      </c>
      <c r="E10" s="44" t="n">
        <v>2498</v>
      </c>
      <c r="F10" s="44" t="n">
        <v>15248</v>
      </c>
      <c r="G10" s="44" t="n">
        <v>1322</v>
      </c>
      <c r="H10" s="44" t="n">
        <v>7308</v>
      </c>
      <c r="I10" s="62" t="n">
        <v>30</v>
      </c>
      <c r="J10" s="64" t="n">
        <v>27</v>
      </c>
      <c r="K10" s="64" t="n">
        <v>34</v>
      </c>
      <c r="L10" s="62" t="n">
        <v>16</v>
      </c>
      <c r="M10" s="64" t="n">
        <v>16</v>
      </c>
      <c r="N10" s="64" t="n">
        <v>18</v>
      </c>
      <c r="O10" s="62" t="n">
        <v>0.5333</v>
      </c>
      <c r="P10" s="64" t="n">
        <v>0.4848</v>
      </c>
      <c r="Q10" s="64" t="n">
        <v>0.6296</v>
      </c>
      <c r="R10" s="80" t="n">
        <v>0.1982</v>
      </c>
      <c r="S10" s="82" t="n">
        <v>0.1737</v>
      </c>
      <c r="T10" s="82" t="n">
        <v>0.2258</v>
      </c>
      <c r="U10" s="80" t="n">
        <v>0.0902</v>
      </c>
      <c r="V10" s="82" t="n">
        <v>0.083</v>
      </c>
      <c r="W10" s="82" t="n">
        <v>0.0974</v>
      </c>
      <c r="X10" s="102" t="n">
        <v>-0.1079</v>
      </c>
      <c r="Y10" s="104" t="n">
        <v>-0.1365</v>
      </c>
      <c r="Z10" s="104" t="n">
        <v>-0.0837</v>
      </c>
      <c r="AA10" s="58"/>
      <c r="AB10" s="3"/>
    </row>
    <row r="11" ht="27" customHeight="1">
      <c r="A11" s="3"/>
      <c r="B11" s="59" t="str">
        <v>grain: dataset (publication-linked only)</v>
      </c>
      <c r="C11" s="59" t="str">
        <v>2013-2016</v>
      </c>
      <c r="D11" s="59" t="str">
        <v>2023-2025</v>
      </c>
      <c r="E11" s="45" t="n">
        <v>2324</v>
      </c>
      <c r="F11" s="45" t="n">
        <v>10643</v>
      </c>
      <c r="G11" s="45" t="n">
        <v>1251</v>
      </c>
      <c r="H11" s="45" t="n">
        <v>5510</v>
      </c>
      <c r="I11" s="63" t="n">
        <v>30</v>
      </c>
      <c r="J11" s="65" t="n">
        <v>27</v>
      </c>
      <c r="K11" s="65" t="n">
        <v>34.5125</v>
      </c>
      <c r="L11" s="63" t="n">
        <v>18</v>
      </c>
      <c r="M11" s="65" t="n">
        <v>16</v>
      </c>
      <c r="N11" s="65" t="n">
        <v>18</v>
      </c>
      <c r="O11" s="63" t="n">
        <v>0.6</v>
      </c>
      <c r="P11" s="65" t="n">
        <v>0.5139</v>
      </c>
      <c r="Q11" s="65" t="n">
        <v>0.6667</v>
      </c>
      <c r="R11" s="81" t="n">
        <v>0.2014</v>
      </c>
      <c r="S11" s="83" t="n">
        <v>0.1766</v>
      </c>
      <c r="T11" s="83" t="n">
        <v>0.2275</v>
      </c>
      <c r="U11" s="81" t="n">
        <v>0.0951</v>
      </c>
      <c r="V11" s="83" t="n">
        <v>0.0878</v>
      </c>
      <c r="W11" s="83" t="n">
        <v>0.1027</v>
      </c>
      <c r="X11" s="103" t="n">
        <v>-0.1063</v>
      </c>
      <c r="Y11" s="105" t="n">
        <v>-0.134</v>
      </c>
      <c r="Z11" s="105" t="n">
        <v>-0.082</v>
      </c>
      <c r="AA11" s="59"/>
      <c r="AB11" s="3"/>
    </row>
    <row r="12" ht="27" customHeight="1">
      <c r="A12" s="3"/>
      <c r="B12" s="58" t="str">
        <v>grain: publication component</v>
      </c>
      <c r="C12" s="58" t="str">
        <v>2013-2016</v>
      </c>
      <c r="D12" s="58" t="str">
        <v>2023-2025</v>
      </c>
      <c r="E12" s="44" t="n">
        <v>1990</v>
      </c>
      <c r="F12" s="44" t="n">
        <v>9001</v>
      </c>
      <c r="G12" s="44" t="n">
        <v>1233</v>
      </c>
      <c r="H12" s="44" t="n">
        <v>5414</v>
      </c>
      <c r="I12" s="62" t="n">
        <v>36</v>
      </c>
      <c r="J12" s="64" t="n">
        <v>32</v>
      </c>
      <c r="K12" s="64" t="n">
        <v>40</v>
      </c>
      <c r="L12" s="62" t="n">
        <v>20</v>
      </c>
      <c r="M12" s="64" t="n">
        <v>18</v>
      </c>
      <c r="N12" s="64" t="n">
        <v>20</v>
      </c>
      <c r="O12" s="62" t="n">
        <v>0.5556</v>
      </c>
      <c r="P12" s="64" t="n">
        <v>0.475</v>
      </c>
      <c r="Q12" s="64" t="n">
        <v>0.625</v>
      </c>
      <c r="R12" s="80" t="n">
        <v>0.2281</v>
      </c>
      <c r="S12" s="82" t="n">
        <v>0.2061</v>
      </c>
      <c r="T12" s="82" t="n">
        <v>0.2519</v>
      </c>
      <c r="U12" s="80" t="n">
        <v>0.1162</v>
      </c>
      <c r="V12" s="82" t="n">
        <v>0.1081</v>
      </c>
      <c r="W12" s="82" t="n">
        <v>0.1246</v>
      </c>
      <c r="X12" s="102" t="n">
        <v>-0.1119</v>
      </c>
      <c r="Y12" s="104" t="n">
        <v>-0.1363</v>
      </c>
      <c r="Z12" s="104" t="n">
        <v>-0.0897</v>
      </c>
      <c r="AA12" s="58"/>
      <c r="AB12" s="3"/>
    </row>
    <row r="13" ht="27" customHeight="1">
      <c r="A13" s="3"/>
      <c r="B13" s="59" t="str">
        <v>grain: group submission episode (&lt;=30 d)</v>
      </c>
      <c r="C13" s="59" t="str">
        <v>2013-2016</v>
      </c>
      <c r="D13" s="59" t="str">
        <v>2023-2025</v>
      </c>
      <c r="E13" s="45" t="n">
        <v>1973</v>
      </c>
      <c r="F13" s="45" t="n">
        <v>11659</v>
      </c>
      <c r="G13" s="45" t="n">
        <v>1322</v>
      </c>
      <c r="H13" s="45" t="n">
        <v>7256</v>
      </c>
      <c r="I13" s="63" t="n">
        <v>39</v>
      </c>
      <c r="J13" s="65" t="n">
        <v>35</v>
      </c>
      <c r="K13" s="65" t="n">
        <v>42</v>
      </c>
      <c r="L13" s="63" t="n">
        <v>18</v>
      </c>
      <c r="M13" s="65" t="n">
        <v>18</v>
      </c>
      <c r="N13" s="65" t="n">
        <v>19</v>
      </c>
      <c r="O13" s="63" t="n">
        <v>0.4615</v>
      </c>
      <c r="P13" s="65" t="n">
        <v>0.4286</v>
      </c>
      <c r="Q13" s="65" t="n">
        <v>0.5278</v>
      </c>
      <c r="R13" s="81" t="n">
        <v>0.2484</v>
      </c>
      <c r="S13" s="83" t="n">
        <v>0.2257</v>
      </c>
      <c r="T13" s="83" t="n">
        <v>0.2712</v>
      </c>
      <c r="U13" s="81" t="n">
        <v>0.1205</v>
      </c>
      <c r="V13" s="83" t="n">
        <v>0.114</v>
      </c>
      <c r="W13" s="83" t="n">
        <v>0.1288</v>
      </c>
      <c r="X13" s="103" t="n">
        <v>-0.1278</v>
      </c>
      <c r="Y13" s="105" t="n">
        <v>-0.1497</v>
      </c>
      <c r="Z13" s="105" t="n">
        <v>-0.1045</v>
      </c>
      <c r="AA13" s="59"/>
      <c r="AB13" s="3"/>
    </row>
    <row r="14" ht="27" customHeight="1">
      <c r="A14" s="3"/>
      <c r="B14" s="58" t="str">
        <v>grain: group-year</v>
      </c>
      <c r="C14" s="58" t="str">
        <v>2013-2016</v>
      </c>
      <c r="D14" s="58" t="str">
        <v>2023-2025</v>
      </c>
      <c r="E14" s="44" t="n">
        <v>1629</v>
      </c>
      <c r="F14" s="44" t="n">
        <v>9044</v>
      </c>
      <c r="G14" s="44" t="n">
        <v>1322</v>
      </c>
      <c r="H14" s="44" t="n">
        <v>7303</v>
      </c>
      <c r="I14" s="62" t="n">
        <v>40</v>
      </c>
      <c r="J14" s="64" t="n">
        <v>36</v>
      </c>
      <c r="K14" s="64" t="n">
        <v>45</v>
      </c>
      <c r="L14" s="62" t="n">
        <v>20</v>
      </c>
      <c r="M14" s="64" t="n">
        <v>18</v>
      </c>
      <c r="N14" s="64" t="n">
        <v>20</v>
      </c>
      <c r="O14" s="62" t="n">
        <v>0.5</v>
      </c>
      <c r="P14" s="64" t="n">
        <v>0.4286</v>
      </c>
      <c r="Q14" s="64" t="n">
        <v>0.5556</v>
      </c>
      <c r="R14" s="80" t="n">
        <v>0.2738</v>
      </c>
      <c r="S14" s="82" t="n">
        <v>0.2503</v>
      </c>
      <c r="T14" s="82" t="n">
        <v>0.2972</v>
      </c>
      <c r="U14" s="80" t="n">
        <v>0.1569</v>
      </c>
      <c r="V14" s="82" t="n">
        <v>0.1483</v>
      </c>
      <c r="W14" s="82" t="n">
        <v>0.1664</v>
      </c>
      <c r="X14" s="102" t="n">
        <v>-0.1169</v>
      </c>
      <c r="Y14" s="104" t="n">
        <v>-0.1417</v>
      </c>
      <c r="Z14" s="104" t="n">
        <v>-0.0931</v>
      </c>
      <c r="AA14" s="58"/>
      <c r="AB14" s="3"/>
    </row>
    <row r="15" ht="39" customHeight="1">
      <c r="A15" s="3"/>
      <c r="B15" s="59" t="str">
        <v>fraction families collapsed (sample proxy)</v>
      </c>
      <c r="C15" s="59" t="str">
        <v>2013-2016</v>
      </c>
      <c r="D15" s="59" t="str">
        <v>2023-2025</v>
      </c>
      <c r="E15" s="45" t="n">
        <v>2498</v>
      </c>
      <c r="F15" s="45" t="n">
        <v>15248</v>
      </c>
      <c r="G15" s="45" t="n">
        <v>1322</v>
      </c>
      <c r="H15" s="45" t="n">
        <v>7308</v>
      </c>
      <c r="I15" s="63" t="n">
        <v>25</v>
      </c>
      <c r="J15" s="65" t="n">
        <v>24</v>
      </c>
      <c r="K15" s="65" t="n">
        <v>28</v>
      </c>
      <c r="L15" s="63" t="n">
        <v>14</v>
      </c>
      <c r="M15" s="65" t="n">
        <v>13</v>
      </c>
      <c r="N15" s="65" t="n">
        <v>15</v>
      </c>
      <c r="O15" s="63" t="n">
        <v>0.56</v>
      </c>
      <c r="P15" s="65" t="n">
        <v>0.5</v>
      </c>
      <c r="Q15" s="65" t="n">
        <v>0.625</v>
      </c>
      <c r="R15" s="81" t="n">
        <v>0.1597</v>
      </c>
      <c r="S15" s="83" t="n">
        <v>0.1403</v>
      </c>
      <c r="T15" s="83" t="n">
        <v>0.1813</v>
      </c>
      <c r="U15" s="81" t="n">
        <v>0.0776</v>
      </c>
      <c r="V15" s="83" t="n">
        <v>0.0712</v>
      </c>
      <c r="W15" s="83" t="n">
        <v>0.084</v>
      </c>
      <c r="X15" s="103" t="n">
        <v>-0.0821</v>
      </c>
      <c r="Y15" s="105" t="n">
        <v>-0.1048</v>
      </c>
      <c r="Z15" s="105" t="n">
        <v>-0.0607</v>
      </c>
      <c r="AA15" s="59"/>
      <c r="AB15" s="3"/>
    </row>
    <row r="16" ht="27" customHeight="1">
      <c r="A16" s="3"/>
      <c r="B16" s="58" t="str">
        <v>datasets without fraction-token families</v>
      </c>
      <c r="C16" s="58" t="str">
        <v>2013-2016</v>
      </c>
      <c r="D16" s="58" t="str">
        <v>2023-2025</v>
      </c>
      <c r="E16" s="44" t="n">
        <v>2213</v>
      </c>
      <c r="F16" s="44" t="n">
        <v>13805</v>
      </c>
      <c r="G16" s="44" t="n">
        <v>1217</v>
      </c>
      <c r="H16" s="44" t="n">
        <v>6861</v>
      </c>
      <c r="I16" s="62" t="n">
        <v>25</v>
      </c>
      <c r="J16" s="64" t="n">
        <v>24</v>
      </c>
      <c r="K16" s="64" t="n">
        <v>28</v>
      </c>
      <c r="L16" s="62" t="n">
        <v>15</v>
      </c>
      <c r="M16" s="64" t="n">
        <v>14</v>
      </c>
      <c r="N16" s="64" t="n">
        <v>16</v>
      </c>
      <c r="O16" s="62" t="n">
        <v>0.6</v>
      </c>
      <c r="P16" s="64" t="n">
        <v>0.5357</v>
      </c>
      <c r="Q16" s="64" t="n">
        <v>0.6667</v>
      </c>
      <c r="R16" s="80" t="n">
        <v>0.1563</v>
      </c>
      <c r="S16" s="82" t="n">
        <v>0.1362</v>
      </c>
      <c r="T16" s="82" t="n">
        <v>0.1769</v>
      </c>
      <c r="U16" s="80" t="n">
        <v>0.0771</v>
      </c>
      <c r="V16" s="82" t="n">
        <v>0.071</v>
      </c>
      <c r="W16" s="82" t="n">
        <v>0.0841</v>
      </c>
      <c r="X16" s="102" t="n">
        <v>-0.0793</v>
      </c>
      <c r="Y16" s="104" t="n">
        <v>-0.1011</v>
      </c>
      <c r="Z16" s="104" t="n">
        <v>-0.0587</v>
      </c>
      <c r="AA16" s="58"/>
      <c r="AB16" s="3"/>
    </row>
    <row r="17" ht="27" customHeight="1">
      <c r="A17" s="3"/>
      <c r="B17" s="59" t="str">
        <v>Thermo, exact counts only</v>
      </c>
      <c r="C17" s="59" t="str">
        <v>2013-2016</v>
      </c>
      <c r="D17" s="59" t="str">
        <v>2023-2025</v>
      </c>
      <c r="E17" s="45" t="n">
        <v>2004</v>
      </c>
      <c r="F17" s="45" t="n">
        <v>12303</v>
      </c>
      <c r="G17" s="45" t="n">
        <v>1062</v>
      </c>
      <c r="H17" s="45" t="n">
        <v>6030</v>
      </c>
      <c r="I17" s="63" t="n">
        <v>34</v>
      </c>
      <c r="J17" s="65" t="n">
        <v>30</v>
      </c>
      <c r="K17" s="65" t="n">
        <v>39</v>
      </c>
      <c r="L17" s="63" t="n">
        <v>18</v>
      </c>
      <c r="M17" s="65" t="n">
        <v>17</v>
      </c>
      <c r="N17" s="65" t="n">
        <v>18</v>
      </c>
      <c r="O17" s="63" t="n">
        <v>0.5294</v>
      </c>
      <c r="P17" s="65" t="n">
        <v>0.4612</v>
      </c>
      <c r="Q17" s="65" t="n">
        <v>0.6</v>
      </c>
      <c r="R17" s="81" t="n">
        <v>0.2191</v>
      </c>
      <c r="S17" s="83" t="n">
        <v>0.191</v>
      </c>
      <c r="T17" s="83" t="n">
        <v>0.2496</v>
      </c>
      <c r="U17" s="81" t="n">
        <v>0.0919</v>
      </c>
      <c r="V17" s="83" t="n">
        <v>0.0842</v>
      </c>
      <c r="W17" s="83" t="n">
        <v>0.1001</v>
      </c>
      <c r="X17" s="103" t="n">
        <v>-0.1271</v>
      </c>
      <c r="Y17" s="105" t="n">
        <v>-0.1592</v>
      </c>
      <c r="Z17" s="105" t="n">
        <v>-0.0974</v>
      </c>
      <c r="AA17" s="59"/>
      <c r="AB17" s="3"/>
    </row>
    <row r="18" ht="27" customHeight="1">
      <c r="A18" s="3"/>
      <c r="B18" s="58" t="str">
        <v>PXD accessions only</v>
      </c>
      <c r="C18" s="58" t="str">
        <v>2013-2016</v>
      </c>
      <c r="D18" s="58" t="str">
        <v>2023-2025</v>
      </c>
      <c r="E18" s="44" t="n">
        <v>2498</v>
      </c>
      <c r="F18" s="44" t="n">
        <v>15248</v>
      </c>
      <c r="G18" s="44" t="n">
        <v>1322</v>
      </c>
      <c r="H18" s="44" t="n">
        <v>7308</v>
      </c>
      <c r="I18" s="62" t="n">
        <v>30</v>
      </c>
      <c r="J18" s="64" t="n">
        <v>27</v>
      </c>
      <c r="K18" s="64" t="n">
        <v>34</v>
      </c>
      <c r="L18" s="62" t="n">
        <v>16</v>
      </c>
      <c r="M18" s="64" t="n">
        <v>16</v>
      </c>
      <c r="N18" s="64" t="n">
        <v>18</v>
      </c>
      <c r="O18" s="62" t="n">
        <v>0.5333</v>
      </c>
      <c r="P18" s="64" t="n">
        <v>0.4848</v>
      </c>
      <c r="Q18" s="64" t="n">
        <v>0.6296</v>
      </c>
      <c r="R18" s="80" t="n">
        <v>0.1982</v>
      </c>
      <c r="S18" s="82" t="n">
        <v>0.1737</v>
      </c>
      <c r="T18" s="82" t="n">
        <v>0.2258</v>
      </c>
      <c r="U18" s="80" t="n">
        <v>0.0902</v>
      </c>
      <c r="V18" s="82" t="n">
        <v>0.083</v>
      </c>
      <c r="W18" s="82" t="n">
        <v>0.0974</v>
      </c>
      <c r="X18" s="102" t="n">
        <v>-0.1079</v>
      </c>
      <c r="Y18" s="104" t="n">
        <v>-0.1365</v>
      </c>
      <c r="Z18" s="104" t="n">
        <v>-0.0837</v>
      </c>
      <c r="AA18" s="58"/>
      <c r="AB18" s="3"/>
    </row>
    <row r="19" ht="27" customHeight="1">
      <c r="A19" s="3"/>
      <c r="B19" s="59" t="str">
        <v>human_s=human</v>
      </c>
      <c r="C19" s="59" t="str">
        <v>2013-2016</v>
      </c>
      <c r="D19" s="59" t="str">
        <v>2023-2025</v>
      </c>
      <c r="E19" s="45" t="n">
        <v>1075</v>
      </c>
      <c r="F19" s="45" t="n">
        <v>7667</v>
      </c>
      <c r="G19" s="45" t="n">
        <v>599</v>
      </c>
      <c r="H19" s="45" t="n">
        <v>3853</v>
      </c>
      <c r="I19" s="63" t="n">
        <v>36</v>
      </c>
      <c r="J19" s="65" t="n">
        <v>30</v>
      </c>
      <c r="K19" s="65" t="n">
        <v>43.2625</v>
      </c>
      <c r="L19" s="63" t="n">
        <v>18</v>
      </c>
      <c r="M19" s="65" t="n">
        <v>18</v>
      </c>
      <c r="N19" s="65" t="n">
        <v>20</v>
      </c>
      <c r="O19" s="63" t="n">
        <v>0.5</v>
      </c>
      <c r="P19" s="65" t="n">
        <v>0.4161</v>
      </c>
      <c r="Q19" s="65" t="n">
        <v>0.6129</v>
      </c>
      <c r="R19" s="81" t="n">
        <v>0.226</v>
      </c>
      <c r="S19" s="83" t="n">
        <v>0.1864</v>
      </c>
      <c r="T19" s="83" t="n">
        <v>0.2709</v>
      </c>
      <c r="U19" s="81" t="n">
        <v>0.1216</v>
      </c>
      <c r="V19" s="83" t="n">
        <v>0.1112</v>
      </c>
      <c r="W19" s="83" t="n">
        <v>0.1323</v>
      </c>
      <c r="X19" s="103" t="n">
        <v>-0.1045</v>
      </c>
      <c r="Y19" s="105" t="n">
        <v>-0.1463</v>
      </c>
      <c r="Z19" s="105" t="n">
        <v>-0.0654</v>
      </c>
      <c r="AA19" s="59" t="str">
        <v>human_s</v>
      </c>
      <c r="AB19" s="3"/>
    </row>
    <row r="20" ht="27" customHeight="1">
      <c r="A20" s="3"/>
      <c r="B20" s="58" t="str">
        <v>human_s=non-human</v>
      </c>
      <c r="C20" s="58" t="str">
        <v>2013-2016</v>
      </c>
      <c r="D20" s="58" t="str">
        <v>2023-2025</v>
      </c>
      <c r="E20" s="44" t="n">
        <v>1423</v>
      </c>
      <c r="F20" s="44" t="n">
        <v>7579</v>
      </c>
      <c r="G20" s="44" t="n">
        <v>882</v>
      </c>
      <c r="H20" s="44" t="n">
        <v>4181</v>
      </c>
      <c r="I20" s="62" t="n">
        <v>25</v>
      </c>
      <c r="J20" s="64" t="n">
        <v>24</v>
      </c>
      <c r="K20" s="64" t="n">
        <v>30</v>
      </c>
      <c r="L20" s="62" t="n">
        <v>15</v>
      </c>
      <c r="M20" s="64" t="n">
        <v>14</v>
      </c>
      <c r="N20" s="64" t="n">
        <v>16</v>
      </c>
      <c r="O20" s="62" t="n">
        <v>0.6</v>
      </c>
      <c r="P20" s="64" t="n">
        <v>0.5</v>
      </c>
      <c r="Q20" s="64" t="n">
        <v>0.6667</v>
      </c>
      <c r="R20" s="80" t="n">
        <v>0.1771</v>
      </c>
      <c r="S20" s="82" t="n">
        <v>0.1477</v>
      </c>
      <c r="T20" s="82" t="n">
        <v>0.2064</v>
      </c>
      <c r="U20" s="80" t="n">
        <v>0.0585</v>
      </c>
      <c r="V20" s="82" t="n">
        <v>0.0515</v>
      </c>
      <c r="W20" s="82" t="n">
        <v>0.066</v>
      </c>
      <c r="X20" s="102" t="n">
        <v>-0.1186</v>
      </c>
      <c r="Y20" s="104" t="n">
        <v>-0.1491</v>
      </c>
      <c r="Z20" s="104" t="n">
        <v>-0.0887</v>
      </c>
      <c r="AA20" s="58" t="str">
        <v>human_s</v>
      </c>
      <c r="AB20" s="3"/>
    </row>
    <row r="21" ht="27" customHeight="1">
      <c r="A21" s="3"/>
      <c r="B21" s="59" t="str">
        <v>human_s=species unknown</v>
      </c>
      <c r="C21" s="59"/>
      <c r="D21" s="59"/>
      <c r="E21" s="45" t="n">
        <v>0</v>
      </c>
      <c r="F21" s="45" t="n">
        <v>2</v>
      </c>
      <c r="G21" s="45"/>
      <c r="H21" s="45"/>
      <c r="I21" s="63"/>
      <c r="J21" s="65"/>
      <c r="K21" s="65"/>
      <c r="L21" s="63"/>
      <c r="M21" s="65"/>
      <c r="N21" s="65"/>
      <c r="O21" s="63"/>
      <c r="P21" s="65"/>
      <c r="Q21" s="65"/>
      <c r="R21" s="81"/>
      <c r="S21" s="83"/>
      <c r="T21" s="83"/>
      <c r="U21" s="81"/>
      <c r="V21" s="83"/>
      <c r="W21" s="83"/>
      <c r="X21" s="103"/>
      <c r="Y21" s="105"/>
      <c r="Z21" s="105"/>
      <c r="AA21" s="59" t="str">
        <v>human_s</v>
      </c>
      <c r="AB21" s="3"/>
    </row>
    <row r="22" ht="27" customHeight="1">
      <c r="A22" s="3"/>
      <c r="B22" s="58" t="str">
        <v>dia_s=DIA detected</v>
      </c>
      <c r="C22" s="58" t="str">
        <v>2013-2016</v>
      </c>
      <c r="D22" s="58" t="str">
        <v>2023-2025</v>
      </c>
      <c r="E22" s="44" t="n">
        <v>60</v>
      </c>
      <c r="F22" s="44" t="n">
        <v>2329</v>
      </c>
      <c r="G22" s="44" t="n">
        <v>42</v>
      </c>
      <c r="H22" s="44" t="n">
        <v>1308</v>
      </c>
      <c r="I22" s="62" t="n">
        <v>40</v>
      </c>
      <c r="J22" s="64" t="n">
        <v>30.475</v>
      </c>
      <c r="K22" s="64" t="n">
        <v>52</v>
      </c>
      <c r="L22" s="62" t="n">
        <v>23</v>
      </c>
      <c r="M22" s="64" t="n">
        <v>20</v>
      </c>
      <c r="N22" s="64" t="n">
        <v>24</v>
      </c>
      <c r="O22" s="62" t="n">
        <v>0.575</v>
      </c>
      <c r="P22" s="64" t="n">
        <v>0.4421</v>
      </c>
      <c r="Q22" s="64" t="n">
        <v>0.7378</v>
      </c>
      <c r="R22" s="80" t="n">
        <v>0.1167</v>
      </c>
      <c r="S22" s="82" t="n">
        <v>0.0227</v>
      </c>
      <c r="T22" s="82" t="n">
        <v>0.2035</v>
      </c>
      <c r="U22" s="80" t="n">
        <v>0.1443</v>
      </c>
      <c r="V22" s="82" t="n">
        <v>0.1243</v>
      </c>
      <c r="W22" s="82" t="n">
        <v>0.1664</v>
      </c>
      <c r="X22" s="102" t="n">
        <v>0.0276</v>
      </c>
      <c r="Y22" s="104" t="n">
        <v>-0.0619</v>
      </c>
      <c r="Z22" s="104" t="n">
        <v>0.1253</v>
      </c>
      <c r="AA22" s="58" t="str">
        <v>dia_s</v>
      </c>
      <c r="AB22" s="3"/>
    </row>
    <row r="23" ht="27" customHeight="1">
      <c r="A23" s="3"/>
      <c r="B23" s="59" t="str">
        <v>dia_s=DIA not detected</v>
      </c>
      <c r="C23" s="59" t="str">
        <v>2013-2016</v>
      </c>
      <c r="D23" s="59" t="str">
        <v>2023-2025</v>
      </c>
      <c r="E23" s="45" t="n">
        <v>2438</v>
      </c>
      <c r="F23" s="45" t="n">
        <v>12919</v>
      </c>
      <c r="G23" s="45" t="n">
        <v>1301</v>
      </c>
      <c r="H23" s="45" t="n">
        <v>6485</v>
      </c>
      <c r="I23" s="63" t="n">
        <v>30</v>
      </c>
      <c r="J23" s="65" t="n">
        <v>26</v>
      </c>
      <c r="K23" s="65" t="n">
        <v>32.525</v>
      </c>
      <c r="L23" s="63" t="n">
        <v>16</v>
      </c>
      <c r="M23" s="65" t="n">
        <v>15</v>
      </c>
      <c r="N23" s="65" t="n">
        <v>16</v>
      </c>
      <c r="O23" s="63" t="n">
        <v>0.5333</v>
      </c>
      <c r="P23" s="65" t="n">
        <v>0.4706</v>
      </c>
      <c r="Q23" s="65" t="n">
        <v>0.6154</v>
      </c>
      <c r="R23" s="81" t="n">
        <v>0.2002</v>
      </c>
      <c r="S23" s="83" t="n">
        <v>0.1758</v>
      </c>
      <c r="T23" s="83" t="n">
        <v>0.2238</v>
      </c>
      <c r="U23" s="81" t="n">
        <v>0.0805</v>
      </c>
      <c r="V23" s="83" t="n">
        <v>0.0741</v>
      </c>
      <c r="W23" s="83" t="n">
        <v>0.0866</v>
      </c>
      <c r="X23" s="103" t="n">
        <v>-0.1197</v>
      </c>
      <c r="Y23" s="105" t="n">
        <v>-0.1439</v>
      </c>
      <c r="Z23" s="105" t="n">
        <v>-0.0961</v>
      </c>
      <c r="AA23" s="59" t="str">
        <v>dia_s</v>
      </c>
      <c r="AB23" s="3"/>
    </row>
    <row r="24" ht="27" customHeight="1">
      <c r="A24" s="3"/>
      <c r="B24" s="58" t="str">
        <v>tmt_s=TMT detected</v>
      </c>
      <c r="C24" s="58" t="str">
        <v>2013-2016</v>
      </c>
      <c r="D24" s="58" t="str">
        <v>2023-2025</v>
      </c>
      <c r="E24" s="44" t="n">
        <v>112</v>
      </c>
      <c r="F24" s="44" t="n">
        <v>2286</v>
      </c>
      <c r="G24" s="44" t="n">
        <v>82</v>
      </c>
      <c r="H24" s="44" t="n">
        <v>1271</v>
      </c>
      <c r="I24" s="62" t="n">
        <v>25</v>
      </c>
      <c r="J24" s="64" t="n">
        <v>20</v>
      </c>
      <c r="K24" s="64" t="n">
        <v>35</v>
      </c>
      <c r="L24" s="62" t="n">
        <v>24</v>
      </c>
      <c r="M24" s="64" t="n">
        <v>21</v>
      </c>
      <c r="N24" s="64" t="n">
        <v>24</v>
      </c>
      <c r="O24" s="62" t="n">
        <v>0.96</v>
      </c>
      <c r="P24" s="64" t="n">
        <v>0.6711</v>
      </c>
      <c r="Q24" s="64" t="n">
        <v>1.15</v>
      </c>
      <c r="R24" s="80" t="n">
        <v>0.1964</v>
      </c>
      <c r="S24" s="82" t="n">
        <v>0.1231</v>
      </c>
      <c r="T24" s="82" t="n">
        <v>0.2901</v>
      </c>
      <c r="U24" s="80" t="n">
        <v>0.1085</v>
      </c>
      <c r="V24" s="82" t="n">
        <v>0.0908</v>
      </c>
      <c r="W24" s="82" t="n">
        <v>0.126</v>
      </c>
      <c r="X24" s="102" t="n">
        <v>-0.0879</v>
      </c>
      <c r="Y24" s="104" t="n">
        <v>-0.1817</v>
      </c>
      <c r="Z24" s="104" t="n">
        <v>-0.014</v>
      </c>
      <c r="AA24" s="58" t="str">
        <v>tmt_s</v>
      </c>
      <c r="AB24" s="3"/>
    </row>
    <row r="25" ht="27" customHeight="1">
      <c r="A25" s="3"/>
      <c r="B25" s="59" t="str">
        <v>tmt_s=TMT not detected</v>
      </c>
      <c r="C25" s="59" t="str">
        <v>2013-2016</v>
      </c>
      <c r="D25" s="59" t="str">
        <v>2023-2025</v>
      </c>
      <c r="E25" s="45" t="n">
        <v>2386</v>
      </c>
      <c r="F25" s="45" t="n">
        <v>12962</v>
      </c>
      <c r="G25" s="45" t="n">
        <v>1272</v>
      </c>
      <c r="H25" s="45" t="n">
        <v>6422</v>
      </c>
      <c r="I25" s="63" t="n">
        <v>30</v>
      </c>
      <c r="J25" s="65" t="n">
        <v>26.7375</v>
      </c>
      <c r="K25" s="65" t="n">
        <v>34</v>
      </c>
      <c r="L25" s="63" t="n">
        <v>16</v>
      </c>
      <c r="M25" s="65" t="n">
        <v>15</v>
      </c>
      <c r="N25" s="65" t="n">
        <v>16</v>
      </c>
      <c r="O25" s="63" t="n">
        <v>0.5333</v>
      </c>
      <c r="P25" s="65" t="n">
        <v>0.4545</v>
      </c>
      <c r="Q25" s="65" t="n">
        <v>0.5926</v>
      </c>
      <c r="R25" s="81" t="n">
        <v>0.1982</v>
      </c>
      <c r="S25" s="83" t="n">
        <v>0.1722</v>
      </c>
      <c r="T25" s="83" t="n">
        <v>0.2242</v>
      </c>
      <c r="U25" s="81" t="n">
        <v>0.087</v>
      </c>
      <c r="V25" s="83" t="n">
        <v>0.0801</v>
      </c>
      <c r="W25" s="83" t="n">
        <v>0.0939</v>
      </c>
      <c r="X25" s="103" t="n">
        <v>-0.1112</v>
      </c>
      <c r="Y25" s="105" t="n">
        <v>-0.1364</v>
      </c>
      <c r="Z25" s="105" t="n">
        <v>-0.0852</v>
      </c>
      <c r="AA25" s="59" t="str">
        <v>tmt_s</v>
      </c>
      <c r="AB25" s="3"/>
    </row>
    <row r="26" ht="39" customHeight="1">
      <c r="A26" s="3"/>
      <c r="B26" s="58" t="str">
        <v>submission_type=COMPLETE</v>
      </c>
      <c r="C26" s="58" t="str">
        <v>2013-2016</v>
      </c>
      <c r="D26" s="58" t="str">
        <v>2023-2025</v>
      </c>
      <c r="E26" s="44" t="n">
        <v>754</v>
      </c>
      <c r="F26" s="44" t="n">
        <v>2332</v>
      </c>
      <c r="G26" s="44" t="n">
        <v>452</v>
      </c>
      <c r="H26" s="44" t="n">
        <v>1296</v>
      </c>
      <c r="I26" s="62" t="n">
        <v>24</v>
      </c>
      <c r="J26" s="64" t="n">
        <v>20</v>
      </c>
      <c r="K26" s="64" t="n">
        <v>30</v>
      </c>
      <c r="L26" s="62" t="n">
        <v>14</v>
      </c>
      <c r="M26" s="64" t="n">
        <v>12</v>
      </c>
      <c r="N26" s="64" t="n">
        <v>15.525</v>
      </c>
      <c r="O26" s="62" t="n">
        <v>0.5833</v>
      </c>
      <c r="P26" s="64" t="n">
        <v>0.4463</v>
      </c>
      <c r="Q26" s="64" t="n">
        <v>0.75</v>
      </c>
      <c r="R26" s="80" t="n">
        <v>0.1618</v>
      </c>
      <c r="S26" s="82" t="n">
        <v>0.1178</v>
      </c>
      <c r="T26" s="82" t="n">
        <v>0.2225</v>
      </c>
      <c r="U26" s="80" t="n">
        <v>0.0549</v>
      </c>
      <c r="V26" s="82" t="n">
        <v>0.0443</v>
      </c>
      <c r="W26" s="82" t="n">
        <v>0.0655</v>
      </c>
      <c r="X26" s="102" t="n">
        <v>-0.1069</v>
      </c>
      <c r="Y26" s="104" t="n">
        <v>-0.1673</v>
      </c>
      <c r="Z26" s="104" t="n">
        <v>-0.0629</v>
      </c>
      <c r="AA26" s="58" t="str">
        <v>submission_type</v>
      </c>
      <c r="AB26" s="3"/>
    </row>
    <row r="27" ht="39" customHeight="1">
      <c r="A27" s="3"/>
      <c r="B27" s="59" t="str">
        <v>submission_type=PARTIAL</v>
      </c>
      <c r="C27" s="59" t="str">
        <v>2013-2016</v>
      </c>
      <c r="D27" s="59" t="str">
        <v>2023-2025</v>
      </c>
      <c r="E27" s="45" t="n">
        <v>1744</v>
      </c>
      <c r="F27" s="45" t="n">
        <v>12916</v>
      </c>
      <c r="G27" s="45" t="n">
        <v>962</v>
      </c>
      <c r="H27" s="45" t="n">
        <v>6331</v>
      </c>
      <c r="I27" s="63" t="n">
        <v>33</v>
      </c>
      <c r="J27" s="65" t="n">
        <v>30</v>
      </c>
      <c r="K27" s="65" t="n">
        <v>36</v>
      </c>
      <c r="L27" s="63" t="n">
        <v>17</v>
      </c>
      <c r="M27" s="65" t="n">
        <v>16</v>
      </c>
      <c r="N27" s="65" t="n">
        <v>18</v>
      </c>
      <c r="O27" s="63" t="n">
        <v>0.5152</v>
      </c>
      <c r="P27" s="65" t="n">
        <v>0.4444</v>
      </c>
      <c r="Q27" s="65" t="n">
        <v>0.6</v>
      </c>
      <c r="R27" s="81" t="n">
        <v>0.2139</v>
      </c>
      <c r="S27" s="83" t="n">
        <v>0.1895</v>
      </c>
      <c r="T27" s="83" t="n">
        <v>0.2431</v>
      </c>
      <c r="U27" s="81" t="n">
        <v>0.0966</v>
      </c>
      <c r="V27" s="83" t="n">
        <v>0.0899</v>
      </c>
      <c r="W27" s="83" t="n">
        <v>0.1047</v>
      </c>
      <c r="X27" s="103" t="n">
        <v>-0.1173</v>
      </c>
      <c r="Y27" s="105" t="n">
        <v>-0.1482</v>
      </c>
      <c r="Z27" s="105" t="n">
        <v>-0.093</v>
      </c>
      <c r="AA27" s="59" t="str">
        <v>submission_type</v>
      </c>
      <c r="AB27" s="3"/>
    </row>
    <row r="28" ht="27" customHeight="1">
      <c r="A28" s="3"/>
      <c r="B28" s="58" t="str">
        <v>vendor4=Bruker</v>
      </c>
      <c r="C28" s="58" t="str">
        <v>2013-2016</v>
      </c>
      <c r="D28" s="58" t="str">
        <v>2023-2025</v>
      </c>
      <c r="E28" s="44" t="n">
        <v>56</v>
      </c>
      <c r="F28" s="44" t="n">
        <v>1517</v>
      </c>
      <c r="G28" s="44" t="n">
        <v>45</v>
      </c>
      <c r="H28" s="44" t="n">
        <v>847</v>
      </c>
      <c r="I28" s="62" t="n">
        <v>13</v>
      </c>
      <c r="J28" s="64" t="n">
        <v>6</v>
      </c>
      <c r="K28" s="64" t="n">
        <v>25.525</v>
      </c>
      <c r="L28" s="62" t="n">
        <v>12</v>
      </c>
      <c r="M28" s="64" t="n">
        <v>11</v>
      </c>
      <c r="N28" s="64" t="n">
        <v>13</v>
      </c>
      <c r="O28" s="62" t="n">
        <v>0.9231</v>
      </c>
      <c r="P28" s="64" t="n">
        <v>0.4685</v>
      </c>
      <c r="Q28" s="64" t="n">
        <v>2</v>
      </c>
      <c r="R28" s="80" t="n">
        <v>0.1607</v>
      </c>
      <c r="S28" s="82" t="n">
        <v>0.0729</v>
      </c>
      <c r="T28" s="82" t="n">
        <v>0.2563</v>
      </c>
      <c r="U28" s="80" t="n">
        <v>0.0659</v>
      </c>
      <c r="V28" s="82" t="n">
        <v>0.0517</v>
      </c>
      <c r="W28" s="82" t="n">
        <v>0.0815</v>
      </c>
      <c r="X28" s="102" t="n">
        <v>-0.0948</v>
      </c>
      <c r="Y28" s="104" t="n">
        <v>-0.1916</v>
      </c>
      <c r="Z28" s="104" t="n">
        <v>-0.0065</v>
      </c>
      <c r="AA28" s="58" t="str">
        <v>vendor4</v>
      </c>
      <c r="AB28" s="3"/>
    </row>
    <row r="29" ht="27" customHeight="1">
      <c r="A29" s="3"/>
      <c r="B29" s="59" t="str">
        <v>vendor4=SCIEX</v>
      </c>
      <c r="C29" s="59" t="str">
        <v>2013-2016</v>
      </c>
      <c r="D29" s="59" t="str">
        <v>2023-2025</v>
      </c>
      <c r="E29" s="45" t="n">
        <v>184</v>
      </c>
      <c r="F29" s="45" t="n">
        <v>481</v>
      </c>
      <c r="G29" s="45" t="n">
        <v>118</v>
      </c>
      <c r="H29" s="45" t="n">
        <v>281</v>
      </c>
      <c r="I29" s="63" t="n">
        <v>24</v>
      </c>
      <c r="J29" s="65" t="n">
        <v>19</v>
      </c>
      <c r="K29" s="65" t="n">
        <v>29</v>
      </c>
      <c r="L29" s="63" t="n">
        <v>24</v>
      </c>
      <c r="M29" s="65" t="n">
        <v>18</v>
      </c>
      <c r="N29" s="65" t="n">
        <v>28</v>
      </c>
      <c r="O29" s="63" t="n">
        <v>1</v>
      </c>
      <c r="P29" s="65" t="n">
        <v>0.7157</v>
      </c>
      <c r="Q29" s="65" t="n">
        <v>1.35</v>
      </c>
      <c r="R29" s="81" t="n">
        <v>0.1196</v>
      </c>
      <c r="S29" s="83" t="n">
        <v>0.0742</v>
      </c>
      <c r="T29" s="83" t="n">
        <v>0.1635</v>
      </c>
      <c r="U29" s="81" t="n">
        <v>0.1601</v>
      </c>
      <c r="V29" s="83" t="n">
        <v>0.1182</v>
      </c>
      <c r="W29" s="83" t="n">
        <v>0.1969</v>
      </c>
      <c r="X29" s="103" t="n">
        <v>0.0405</v>
      </c>
      <c r="Y29" s="105" t="n">
        <v>-0.0181</v>
      </c>
      <c r="Z29" s="105" t="n">
        <v>0.0971</v>
      </c>
      <c r="AA29" s="59" t="str">
        <v>vendor4</v>
      </c>
      <c r="AB29" s="3"/>
    </row>
    <row r="30" ht="27" customHeight="1">
      <c r="A30" s="3"/>
      <c r="B30" s="58" t="str">
        <v>vendor4=Thermo Fisher</v>
      </c>
      <c r="C30" s="58" t="str">
        <v>2013-2016</v>
      </c>
      <c r="D30" s="58" t="str">
        <v>2023-2025</v>
      </c>
      <c r="E30" s="44" t="n">
        <v>2086</v>
      </c>
      <c r="F30" s="44" t="n">
        <v>12586</v>
      </c>
      <c r="G30" s="44" t="n">
        <v>1105</v>
      </c>
      <c r="H30" s="44" t="n">
        <v>6179</v>
      </c>
      <c r="I30" s="62" t="n">
        <v>31</v>
      </c>
      <c r="J30" s="64" t="n">
        <v>28</v>
      </c>
      <c r="K30" s="64" t="n">
        <v>36</v>
      </c>
      <c r="L30" s="62" t="n">
        <v>18</v>
      </c>
      <c r="M30" s="64" t="n">
        <v>16</v>
      </c>
      <c r="N30" s="64" t="n">
        <v>18</v>
      </c>
      <c r="O30" s="62" t="n">
        <v>0.5806</v>
      </c>
      <c r="P30" s="64" t="n">
        <v>0.4571</v>
      </c>
      <c r="Q30" s="64" t="n">
        <v>0.6071</v>
      </c>
      <c r="R30" s="80" t="n">
        <v>0.2119</v>
      </c>
      <c r="S30" s="82" t="n">
        <v>0.186</v>
      </c>
      <c r="T30" s="82" t="n">
        <v>0.2432</v>
      </c>
      <c r="U30" s="80" t="n">
        <v>0.0899</v>
      </c>
      <c r="V30" s="82" t="n">
        <v>0.0833</v>
      </c>
      <c r="W30" s="82" t="n">
        <v>0.0966</v>
      </c>
      <c r="X30" s="102" t="n">
        <v>-0.1219</v>
      </c>
      <c r="Y30" s="104" t="n">
        <v>-0.1553</v>
      </c>
      <c r="Z30" s="104" t="n">
        <v>-0.0961</v>
      </c>
      <c r="AA30" s="58" t="str">
        <v>vendor4</v>
      </c>
      <c r="AB30" s="3"/>
    </row>
    <row r="31" ht="27" customHeight="1">
      <c r="A31" s="3"/>
      <c r="B31" s="59" t="str">
        <v>vendor4=Waters</v>
      </c>
      <c r="C31" s="59" t="str">
        <v>2013-2016</v>
      </c>
      <c r="D31" s="59" t="str">
        <v>2023-2025</v>
      </c>
      <c r="E31" s="45" t="n">
        <v>64</v>
      </c>
      <c r="F31" s="45" t="n">
        <v>304</v>
      </c>
      <c r="G31" s="45" t="n">
        <v>46</v>
      </c>
      <c r="H31" s="45" t="n">
        <v>157</v>
      </c>
      <c r="I31" s="63" t="n">
        <v>28.5</v>
      </c>
      <c r="J31" s="65" t="n">
        <v>18</v>
      </c>
      <c r="K31" s="65" t="n">
        <v>47</v>
      </c>
      <c r="L31" s="63" t="n">
        <v>8</v>
      </c>
      <c r="M31" s="65" t="n">
        <v>5.5</v>
      </c>
      <c r="N31" s="65" t="n">
        <v>12</v>
      </c>
      <c r="O31" s="63" t="n">
        <v>0.2807</v>
      </c>
      <c r="P31" s="65" t="n">
        <v>0.1348</v>
      </c>
      <c r="Q31" s="65" t="n">
        <v>0.4958</v>
      </c>
      <c r="R31" s="81" t="n">
        <v>0.125</v>
      </c>
      <c r="S31" s="83" t="n">
        <v>0.0286</v>
      </c>
      <c r="T31" s="83" t="n">
        <v>0.239</v>
      </c>
      <c r="U31" s="81" t="n">
        <v>0.102</v>
      </c>
      <c r="V31" s="83" t="n">
        <v>0.0593</v>
      </c>
      <c r="W31" s="83" t="n">
        <v>0.1516</v>
      </c>
      <c r="X31" s="103" t="n">
        <v>-0.023</v>
      </c>
      <c r="Y31" s="105" t="n">
        <v>-0.1409</v>
      </c>
      <c r="Z31" s="105" t="n">
        <v>0.0854</v>
      </c>
      <c r="AA31" s="59" t="str">
        <v>vendor4</v>
      </c>
      <c r="AB31" s="3"/>
    </row>
    <row r="32" ht="27" customHeight="1">
      <c r="A32" s="3"/>
      <c r="B32" s="58" t="str">
        <v>vendor4=other/multiple/unknown</v>
      </c>
      <c r="C32" s="58" t="str">
        <v>2013-2016</v>
      </c>
      <c r="D32" s="58" t="str">
        <v>2023-2025</v>
      </c>
      <c r="E32" s="44" t="n">
        <v>108</v>
      </c>
      <c r="F32" s="44" t="n">
        <v>360</v>
      </c>
      <c r="G32" s="44" t="n">
        <v>88</v>
      </c>
      <c r="H32" s="44" t="n">
        <v>290</v>
      </c>
      <c r="I32" s="62" t="n">
        <v>21.5</v>
      </c>
      <c r="J32" s="64" t="n">
        <v>15.5</v>
      </c>
      <c r="K32" s="64" t="n">
        <v>28</v>
      </c>
      <c r="L32" s="62" t="n">
        <v>12</v>
      </c>
      <c r="M32" s="64" t="n">
        <v>10</v>
      </c>
      <c r="N32" s="64" t="n">
        <v>15</v>
      </c>
      <c r="O32" s="62" t="n">
        <v>0.5581</v>
      </c>
      <c r="P32" s="64" t="n">
        <v>0.3991</v>
      </c>
      <c r="Q32" s="64" t="n">
        <v>0.8057</v>
      </c>
      <c r="R32" s="80" t="n">
        <v>0.1296</v>
      </c>
      <c r="S32" s="82" t="n">
        <v>0.071</v>
      </c>
      <c r="T32" s="82" t="n">
        <v>0.1949</v>
      </c>
      <c r="U32" s="80" t="n">
        <v>0.1</v>
      </c>
      <c r="V32" s="82" t="n">
        <v>0.0668</v>
      </c>
      <c r="W32" s="82" t="n">
        <v>0.1404</v>
      </c>
      <c r="X32" s="102" t="n">
        <v>-0.0296</v>
      </c>
      <c r="Y32" s="104" t="n">
        <v>-0.0994</v>
      </c>
      <c r="Z32" s="104" t="n">
        <v>0.0433</v>
      </c>
      <c r="AA32" s="58" t="str">
        <v>vendor4</v>
      </c>
      <c r="AB32" s="3"/>
    </row>
    <row r="33" ht="27" customHeight="1">
      <c r="A33" s="3"/>
      <c r="B33" s="59" t="str">
        <v>pub_s=no publication linked</v>
      </c>
      <c r="C33" s="59" t="str">
        <v>2013-2016</v>
      </c>
      <c r="D33" s="59" t="str">
        <v>2023-2025</v>
      </c>
      <c r="E33" s="45" t="n">
        <v>174</v>
      </c>
      <c r="F33" s="45" t="n">
        <v>4605</v>
      </c>
      <c r="G33" s="45" t="n">
        <v>139</v>
      </c>
      <c r="H33" s="45" t="n">
        <v>2638</v>
      </c>
      <c r="I33" s="63" t="n">
        <v>24</v>
      </c>
      <c r="J33" s="65" t="n">
        <v>16.5</v>
      </c>
      <c r="K33" s="65" t="n">
        <v>30</v>
      </c>
      <c r="L33" s="63" t="n">
        <v>15</v>
      </c>
      <c r="M33" s="65" t="n">
        <v>13</v>
      </c>
      <c r="N33" s="65" t="n">
        <v>16</v>
      </c>
      <c r="O33" s="63" t="n">
        <v>0.625</v>
      </c>
      <c r="P33" s="65" t="n">
        <v>0.4536</v>
      </c>
      <c r="Q33" s="65" t="n">
        <v>0.8858</v>
      </c>
      <c r="R33" s="81" t="n">
        <v>0.1552</v>
      </c>
      <c r="S33" s="83" t="n">
        <v>0.1037</v>
      </c>
      <c r="T33" s="83" t="n">
        <v>0.2061</v>
      </c>
      <c r="U33" s="81" t="n">
        <v>0.079</v>
      </c>
      <c r="V33" s="83" t="n">
        <v>0.0679</v>
      </c>
      <c r="W33" s="83" t="n">
        <v>0.0913</v>
      </c>
      <c r="X33" s="103" t="n">
        <v>-0.0761</v>
      </c>
      <c r="Y33" s="105" t="n">
        <v>-0.1288</v>
      </c>
      <c r="Z33" s="105" t="n">
        <v>-0.0233</v>
      </c>
      <c r="AA33" s="59" t="str">
        <v>pub_s</v>
      </c>
      <c r="AB33" s="3"/>
    </row>
    <row r="34" ht="27" customHeight="1">
      <c r="A34" s="3"/>
      <c r="B34" s="58" t="str">
        <v>pub_s=publication linked</v>
      </c>
      <c r="C34" s="58" t="str">
        <v>2013-2016</v>
      </c>
      <c r="D34" s="58" t="str">
        <v>2023-2025</v>
      </c>
      <c r="E34" s="44" t="n">
        <v>2324</v>
      </c>
      <c r="F34" s="44" t="n">
        <v>10643</v>
      </c>
      <c r="G34" s="44" t="n">
        <v>1251</v>
      </c>
      <c r="H34" s="44" t="n">
        <v>5510</v>
      </c>
      <c r="I34" s="62" t="n">
        <v>30</v>
      </c>
      <c r="J34" s="64" t="n">
        <v>27</v>
      </c>
      <c r="K34" s="64" t="n">
        <v>34</v>
      </c>
      <c r="L34" s="62" t="n">
        <v>18</v>
      </c>
      <c r="M34" s="64" t="n">
        <v>16</v>
      </c>
      <c r="N34" s="64" t="n">
        <v>18</v>
      </c>
      <c r="O34" s="62" t="n">
        <v>0.6</v>
      </c>
      <c r="P34" s="64" t="n">
        <v>0.5143</v>
      </c>
      <c r="Q34" s="64" t="n">
        <v>0.6667</v>
      </c>
      <c r="R34" s="80" t="n">
        <v>0.2014</v>
      </c>
      <c r="S34" s="82" t="n">
        <v>0.1746</v>
      </c>
      <c r="T34" s="82" t="n">
        <v>0.2264</v>
      </c>
      <c r="U34" s="80" t="n">
        <v>0.0951</v>
      </c>
      <c r="V34" s="82" t="n">
        <v>0.0877</v>
      </c>
      <c r="W34" s="82" t="n">
        <v>0.1022</v>
      </c>
      <c r="X34" s="102" t="n">
        <v>-0.1063</v>
      </c>
      <c r="Y34" s="104" t="n">
        <v>-0.1329</v>
      </c>
      <c r="Z34" s="104" t="n">
        <v>-0.0816</v>
      </c>
      <c r="AA34" s="58" t="str">
        <v>pub_s</v>
      </c>
      <c r="AB34" s="3"/>
    </row>
    <row r="35" ht="27" customHeight="1">
      <c r="A35" s="3"/>
      <c r="B35" s="59" t="str">
        <v>cont_s=Africa</v>
      </c>
      <c r="C35" s="59"/>
      <c r="D35" s="59"/>
      <c r="E35" s="45" t="n">
        <v>1</v>
      </c>
      <c r="F35" s="45" t="n">
        <v>27</v>
      </c>
      <c r="G35" s="45"/>
      <c r="H35" s="45"/>
      <c r="I35" s="63"/>
      <c r="J35" s="65"/>
      <c r="K35" s="65"/>
      <c r="L35" s="63"/>
      <c r="M35" s="65"/>
      <c r="N35" s="65"/>
      <c r="O35" s="63"/>
      <c r="P35" s="65"/>
      <c r="Q35" s="65"/>
      <c r="R35" s="81"/>
      <c r="S35" s="83"/>
      <c r="T35" s="83"/>
      <c r="U35" s="81"/>
      <c r="V35" s="83"/>
      <c r="W35" s="83"/>
      <c r="X35" s="103"/>
      <c r="Y35" s="105"/>
      <c r="Z35" s="105"/>
      <c r="AA35" s="59" t="str">
        <v>cont_s</v>
      </c>
      <c r="AB35" s="3"/>
    </row>
    <row r="36" ht="27" customHeight="1">
      <c r="A36" s="3"/>
      <c r="B36" s="58" t="str">
        <v>cont_s=Asia</v>
      </c>
      <c r="C36" s="58" t="str">
        <v>2013-2016</v>
      </c>
      <c r="D36" s="58" t="str">
        <v>2023-2025</v>
      </c>
      <c r="E36" s="44" t="n">
        <v>250</v>
      </c>
      <c r="F36" s="44" t="n">
        <v>2360</v>
      </c>
      <c r="G36" s="44" t="n">
        <v>159</v>
      </c>
      <c r="H36" s="44" t="n">
        <v>1527</v>
      </c>
      <c r="I36" s="62" t="n">
        <v>20</v>
      </c>
      <c r="J36" s="64" t="n">
        <v>16</v>
      </c>
      <c r="K36" s="64" t="n">
        <v>21</v>
      </c>
      <c r="L36" s="62" t="n">
        <v>8</v>
      </c>
      <c r="M36" s="64" t="n">
        <v>8</v>
      </c>
      <c r="N36" s="64" t="n">
        <v>9</v>
      </c>
      <c r="O36" s="62" t="n">
        <v>0.4</v>
      </c>
      <c r="P36" s="64" t="n">
        <v>0.381</v>
      </c>
      <c r="Q36" s="64" t="n">
        <v>0.5294</v>
      </c>
      <c r="R36" s="80" t="n">
        <v>0.108</v>
      </c>
      <c r="S36" s="82" t="n">
        <v>0.0574</v>
      </c>
      <c r="T36" s="82" t="n">
        <v>0.1576</v>
      </c>
      <c r="U36" s="80" t="n">
        <v>0.0496</v>
      </c>
      <c r="V36" s="82" t="n">
        <v>0.0367</v>
      </c>
      <c r="W36" s="82" t="n">
        <v>0.0654</v>
      </c>
      <c r="X36" s="102" t="n">
        <v>-0.0584</v>
      </c>
      <c r="Y36" s="104" t="n">
        <v>-0.1084</v>
      </c>
      <c r="Z36" s="104" t="n">
        <v>-0.0087</v>
      </c>
      <c r="AA36" s="58" t="str">
        <v>cont_s</v>
      </c>
      <c r="AB36" s="3"/>
    </row>
    <row r="37" ht="27" customHeight="1">
      <c r="A37" s="3"/>
      <c r="B37" s="59" t="str">
        <v>cont_s=Europe</v>
      </c>
      <c r="C37" s="59" t="str">
        <v>2013-2016</v>
      </c>
      <c r="D37" s="59" t="str">
        <v>2023-2025</v>
      </c>
      <c r="E37" s="45" t="n">
        <v>1210</v>
      </c>
      <c r="F37" s="45" t="n">
        <v>6249</v>
      </c>
      <c r="G37" s="45" t="n">
        <v>567</v>
      </c>
      <c r="H37" s="45" t="n">
        <v>2570</v>
      </c>
      <c r="I37" s="63" t="n">
        <v>32.5</v>
      </c>
      <c r="J37" s="65" t="n">
        <v>27.475</v>
      </c>
      <c r="K37" s="65" t="n">
        <v>40</v>
      </c>
      <c r="L37" s="63" t="n">
        <v>20</v>
      </c>
      <c r="M37" s="65" t="n">
        <v>18</v>
      </c>
      <c r="N37" s="65" t="n">
        <v>20</v>
      </c>
      <c r="O37" s="63" t="n">
        <v>0.6154</v>
      </c>
      <c r="P37" s="65" t="n">
        <v>0.4878</v>
      </c>
      <c r="Q37" s="65" t="n">
        <v>0.7143</v>
      </c>
      <c r="R37" s="81" t="n">
        <v>0.205</v>
      </c>
      <c r="S37" s="83" t="n">
        <v>0.1731</v>
      </c>
      <c r="T37" s="83" t="n">
        <v>0.2432</v>
      </c>
      <c r="U37" s="81" t="n">
        <v>0.1064</v>
      </c>
      <c r="V37" s="83" t="n">
        <v>0.0943</v>
      </c>
      <c r="W37" s="83" t="n">
        <v>0.1171</v>
      </c>
      <c r="X37" s="103" t="n">
        <v>-0.0985</v>
      </c>
      <c r="Y37" s="105" t="n">
        <v>-0.1381</v>
      </c>
      <c r="Z37" s="105" t="n">
        <v>-0.065</v>
      </c>
      <c r="AA37" s="59" t="str">
        <v>cont_s</v>
      </c>
      <c r="AB37" s="3"/>
    </row>
    <row r="38" ht="27" customHeight="1">
      <c r="A38" s="3"/>
      <c r="B38" s="58" t="str">
        <v>cont_s=North America</v>
      </c>
      <c r="C38" s="58" t="str">
        <v>2013-2016</v>
      </c>
      <c r="D38" s="58" t="str">
        <v>2023-2025</v>
      </c>
      <c r="E38" s="44" t="n">
        <v>422</v>
      </c>
      <c r="F38" s="44" t="n">
        <v>2535</v>
      </c>
      <c r="G38" s="44" t="n">
        <v>214</v>
      </c>
      <c r="H38" s="44" t="n">
        <v>1121</v>
      </c>
      <c r="I38" s="62" t="n">
        <v>34</v>
      </c>
      <c r="J38" s="64" t="n">
        <v>24</v>
      </c>
      <c r="K38" s="64" t="n">
        <v>48</v>
      </c>
      <c r="L38" s="62" t="n">
        <v>19</v>
      </c>
      <c r="M38" s="64" t="n">
        <v>18</v>
      </c>
      <c r="N38" s="64" t="n">
        <v>20</v>
      </c>
      <c r="O38" s="62" t="n">
        <v>0.5588</v>
      </c>
      <c r="P38" s="64" t="n">
        <v>0.3891</v>
      </c>
      <c r="Q38" s="64" t="n">
        <v>0.8253</v>
      </c>
      <c r="R38" s="80" t="n">
        <v>0.2227</v>
      </c>
      <c r="S38" s="82" t="n">
        <v>0.1365</v>
      </c>
      <c r="T38" s="82" t="n">
        <v>0.3174</v>
      </c>
      <c r="U38" s="80" t="n">
        <v>0.0998</v>
      </c>
      <c r="V38" s="82" t="n">
        <v>0.0828</v>
      </c>
      <c r="W38" s="82" t="n">
        <v>0.1166</v>
      </c>
      <c r="X38" s="102" t="n">
        <v>-0.1229</v>
      </c>
      <c r="Y38" s="104" t="n">
        <v>-0.2155</v>
      </c>
      <c r="Z38" s="104" t="n">
        <v>-0.0346</v>
      </c>
      <c r="AA38" s="58" t="str">
        <v>cont_s</v>
      </c>
      <c r="AB38" s="3"/>
    </row>
    <row r="39" ht="27" customHeight="1">
      <c r="A39" s="3"/>
      <c r="B39" s="59" t="str">
        <v>cont_s=Oceania</v>
      </c>
      <c r="C39" s="59" t="str">
        <v>2013-2016</v>
      </c>
      <c r="D39" s="59" t="str">
        <v>2023-2025</v>
      </c>
      <c r="E39" s="45" t="n">
        <v>57</v>
      </c>
      <c r="F39" s="45" t="n">
        <v>489</v>
      </c>
      <c r="G39" s="45" t="n">
        <v>43</v>
      </c>
      <c r="H39" s="45" t="n">
        <v>205</v>
      </c>
      <c r="I39" s="63" t="n">
        <v>13</v>
      </c>
      <c r="J39" s="65" t="n">
        <v>9.2375</v>
      </c>
      <c r="K39" s="65" t="n">
        <v>37</v>
      </c>
      <c r="L39" s="63" t="n">
        <v>24</v>
      </c>
      <c r="M39" s="65" t="n">
        <v>18</v>
      </c>
      <c r="N39" s="65" t="n">
        <v>27.525</v>
      </c>
      <c r="O39" s="63" t="n">
        <v>1.8462</v>
      </c>
      <c r="P39" s="65" t="n">
        <v>0.5799</v>
      </c>
      <c r="Q39" s="65" t="n">
        <v>2.3333</v>
      </c>
      <c r="R39" s="81" t="n">
        <v>0.1579</v>
      </c>
      <c r="S39" s="83" t="n">
        <v>0.0726</v>
      </c>
      <c r="T39" s="83" t="n">
        <v>0.2551</v>
      </c>
      <c r="U39" s="81" t="n">
        <v>0.1084</v>
      </c>
      <c r="V39" s="83" t="n">
        <v>0.0702</v>
      </c>
      <c r="W39" s="83" t="n">
        <v>0.1567</v>
      </c>
      <c r="X39" s="103" t="n">
        <v>-0.0495</v>
      </c>
      <c r="Y39" s="105" t="n">
        <v>-0.1593</v>
      </c>
      <c r="Z39" s="105" t="n">
        <v>0.0452</v>
      </c>
      <c r="AA39" s="59" t="str">
        <v>cont_s</v>
      </c>
      <c r="AB39" s="3"/>
    </row>
    <row r="40" ht="27" customHeight="1">
      <c r="A40" s="3"/>
      <c r="B40" s="58" t="str">
        <v>cont_s=South America</v>
      </c>
      <c r="C40" s="58" t="str">
        <v>2013-2016</v>
      </c>
      <c r="D40" s="58" t="str">
        <v>2023-2025</v>
      </c>
      <c r="E40" s="44" t="n">
        <v>12</v>
      </c>
      <c r="F40" s="44" t="n">
        <v>189</v>
      </c>
      <c r="G40" s="44" t="n">
        <v>10</v>
      </c>
      <c r="H40" s="44" t="n">
        <v>117</v>
      </c>
      <c r="I40" s="62" t="n">
        <v>7.5</v>
      </c>
      <c r="J40" s="64" t="n">
        <v>3</v>
      </c>
      <c r="K40" s="64" t="n">
        <v>16.5</v>
      </c>
      <c r="L40" s="62" t="n">
        <v>12</v>
      </c>
      <c r="M40" s="64" t="n">
        <v>9</v>
      </c>
      <c r="N40" s="64" t="n">
        <v>17.525</v>
      </c>
      <c r="O40" s="62" t="n">
        <v>1.6</v>
      </c>
      <c r="P40" s="64" t="n">
        <v>0.7235</v>
      </c>
      <c r="Q40" s="64" t="n">
        <v>4.6575</v>
      </c>
      <c r="R40" s="80" t="n">
        <v>0.0833</v>
      </c>
      <c r="S40" s="82" t="n">
        <v>0</v>
      </c>
      <c r="T40" s="82" t="n">
        <v>0.25</v>
      </c>
      <c r="U40" s="80" t="n">
        <v>0.0317</v>
      </c>
      <c r="V40" s="82" t="n">
        <v>0.0098</v>
      </c>
      <c r="W40" s="82" t="n">
        <v>0.0608</v>
      </c>
      <c r="X40" s="102" t="n">
        <v>-0.0516</v>
      </c>
      <c r="Y40" s="104" t="n">
        <v>-0.2201</v>
      </c>
      <c r="Z40" s="104" t="n">
        <v>0.0528</v>
      </c>
      <c r="AA40" s="58" t="str">
        <v>cont_s</v>
      </c>
      <c r="AB40" s="3"/>
    </row>
    <row r="41" ht="27" customHeight="1">
      <c r="A41" s="3"/>
      <c r="B41" s="59" t="str">
        <v>cont_s=country unresolved</v>
      </c>
      <c r="C41" s="59" t="str">
        <v>2013-2016</v>
      </c>
      <c r="D41" s="59" t="str">
        <v>2023-2025</v>
      </c>
      <c r="E41" s="45" t="n">
        <v>546</v>
      </c>
      <c r="F41" s="45" t="n">
        <v>3399</v>
      </c>
      <c r="G41" s="45" t="n">
        <v>422</v>
      </c>
      <c r="H41" s="45" t="n">
        <v>2308</v>
      </c>
      <c r="I41" s="63" t="n">
        <v>30</v>
      </c>
      <c r="J41" s="65" t="n">
        <v>26</v>
      </c>
      <c r="K41" s="65" t="n">
        <v>36</v>
      </c>
      <c r="L41" s="63" t="n">
        <v>15</v>
      </c>
      <c r="M41" s="65" t="n">
        <v>15</v>
      </c>
      <c r="N41" s="65" t="n">
        <v>16</v>
      </c>
      <c r="O41" s="63" t="n">
        <v>0.5</v>
      </c>
      <c r="P41" s="65" t="n">
        <v>0.4167</v>
      </c>
      <c r="Q41" s="65" t="n">
        <v>0.5926</v>
      </c>
      <c r="R41" s="81" t="n">
        <v>0.2125</v>
      </c>
      <c r="S41" s="83" t="n">
        <v>0.1792</v>
      </c>
      <c r="T41" s="83" t="n">
        <v>0.2496</v>
      </c>
      <c r="U41" s="81" t="n">
        <v>0.0815</v>
      </c>
      <c r="V41" s="83" t="n">
        <v>0.0719</v>
      </c>
      <c r="W41" s="83" t="n">
        <v>0.0915</v>
      </c>
      <c r="X41" s="103" t="n">
        <v>-0.131</v>
      </c>
      <c r="Y41" s="105" t="n">
        <v>-0.1706</v>
      </c>
      <c r="Z41" s="105" t="n">
        <v>-0.0955</v>
      </c>
      <c r="AA41" s="59" t="str">
        <v>cont_s</v>
      </c>
      <c r="AB41" s="3"/>
    </row>
    <row r="42" ht="27" customHeight="1">
      <c r="A42" s="3"/>
      <c r="B42" s="58" t="str">
        <v>small_s=1-3 runs</v>
      </c>
      <c r="C42" s="58" t="str">
        <v>2013-2016</v>
      </c>
      <c r="D42" s="58" t="str">
        <v>2023-2025</v>
      </c>
      <c r="E42" s="44" t="n">
        <v>201</v>
      </c>
      <c r="F42" s="44" t="n">
        <v>1995</v>
      </c>
      <c r="G42" s="44" t="n">
        <v>162</v>
      </c>
      <c r="H42" s="44" t="n">
        <v>1471</v>
      </c>
      <c r="I42" s="62" t="n">
        <v>2</v>
      </c>
      <c r="J42" s="64" t="n">
        <v>1</v>
      </c>
      <c r="K42" s="64" t="n">
        <v>2</v>
      </c>
      <c r="L42" s="62" t="n">
        <v>2</v>
      </c>
      <c r="M42" s="64" t="n">
        <v>2</v>
      </c>
      <c r="N42" s="64" t="n">
        <v>2</v>
      </c>
      <c r="O42" s="62" t="n">
        <v>1</v>
      </c>
      <c r="P42" s="64" t="n">
        <v>1</v>
      </c>
      <c r="Q42" s="64" t="n">
        <v>2</v>
      </c>
      <c r="R42" s="80" t="n">
        <v>0</v>
      </c>
      <c r="S42" s="82" t="n">
        <v>0</v>
      </c>
      <c r="T42" s="82" t="n">
        <v>0</v>
      </c>
      <c r="U42" s="80" t="n">
        <v>0</v>
      </c>
      <c r="V42" s="82" t="n">
        <v>0</v>
      </c>
      <c r="W42" s="82" t="n">
        <v>0</v>
      </c>
      <c r="X42" s="102" t="n">
        <v>0</v>
      </c>
      <c r="Y42" s="104" t="n">
        <v>0</v>
      </c>
      <c r="Z42" s="104" t="n">
        <v>0</v>
      </c>
      <c r="AA42" s="58" t="str">
        <v>small_s</v>
      </c>
      <c r="AB42" s="3"/>
    </row>
    <row r="43" ht="27" customHeight="1">
      <c r="A43" s="3"/>
      <c r="B43" s="59" t="str">
        <v>small_s=&gt;=4 runs</v>
      </c>
      <c r="C43" s="59" t="str">
        <v>2013-2016</v>
      </c>
      <c r="D43" s="59" t="str">
        <v>2023-2025</v>
      </c>
      <c r="E43" s="45" t="n">
        <v>2297</v>
      </c>
      <c r="F43" s="45" t="n">
        <v>13253</v>
      </c>
      <c r="G43" s="45" t="n">
        <v>1223</v>
      </c>
      <c r="H43" s="45" t="n">
        <v>6354</v>
      </c>
      <c r="I43" s="63" t="n">
        <v>36</v>
      </c>
      <c r="J43" s="65" t="n">
        <v>30</v>
      </c>
      <c r="K43" s="65" t="n">
        <v>39.525</v>
      </c>
      <c r="L43" s="63" t="n">
        <v>20</v>
      </c>
      <c r="M43" s="65" t="n">
        <v>20</v>
      </c>
      <c r="N43" s="65" t="n">
        <v>20</v>
      </c>
      <c r="O43" s="63" t="n">
        <v>0.5556</v>
      </c>
      <c r="P43" s="65" t="n">
        <v>0.5128</v>
      </c>
      <c r="Q43" s="65" t="n">
        <v>0.6667</v>
      </c>
      <c r="R43" s="81" t="n">
        <v>0.2155</v>
      </c>
      <c r="S43" s="83" t="n">
        <v>0.1888</v>
      </c>
      <c r="T43" s="83" t="n">
        <v>0.2409</v>
      </c>
      <c r="U43" s="81" t="n">
        <v>0.1038</v>
      </c>
      <c r="V43" s="83" t="n">
        <v>0.0956</v>
      </c>
      <c r="W43" s="83" t="n">
        <v>0.1125</v>
      </c>
      <c r="X43" s="103" t="n">
        <v>-0.1117</v>
      </c>
      <c r="Y43" s="105" t="n">
        <v>-0.1375</v>
      </c>
      <c r="Z43" s="105" t="n">
        <v>-0.0837</v>
      </c>
      <c r="AA43" s="59" t="str">
        <v>small_s</v>
      </c>
      <c r="AB43" s="3"/>
    </row>
    <row r="44" ht="39" customHeight="1">
      <c r="A44" s="3"/>
      <c r="B44" s="58" t="str">
        <v>subfield=Molecular Biology</v>
      </c>
      <c r="C44" s="58" t="str">
        <v>2013-2016</v>
      </c>
      <c r="D44" s="58" t="str">
        <v>2023-2025</v>
      </c>
      <c r="E44" s="44" t="n">
        <v>710</v>
      </c>
      <c r="F44" s="44" t="n">
        <v>3607</v>
      </c>
      <c r="G44" s="44" t="n">
        <v>478</v>
      </c>
      <c r="H44" s="44" t="n">
        <v>2207</v>
      </c>
      <c r="I44" s="62" t="n">
        <v>30</v>
      </c>
      <c r="J44" s="64" t="n">
        <v>24</v>
      </c>
      <c r="K44" s="64" t="n">
        <v>36</v>
      </c>
      <c r="L44" s="62" t="n">
        <v>16</v>
      </c>
      <c r="M44" s="64" t="n">
        <v>16</v>
      </c>
      <c r="N44" s="64" t="n">
        <v>18</v>
      </c>
      <c r="O44" s="62" t="n">
        <v>0.5333</v>
      </c>
      <c r="P44" s="64" t="n">
        <v>0.4444</v>
      </c>
      <c r="Q44" s="64" t="n">
        <v>0.6667</v>
      </c>
      <c r="R44" s="80" t="n">
        <v>0.1873</v>
      </c>
      <c r="S44" s="82" t="n">
        <v>0.1518</v>
      </c>
      <c r="T44" s="82" t="n">
        <v>0.224</v>
      </c>
      <c r="U44" s="80" t="n">
        <v>0.0832</v>
      </c>
      <c r="V44" s="82" t="n">
        <v>0.0739</v>
      </c>
      <c r="W44" s="82" t="n">
        <v>0.0942</v>
      </c>
      <c r="X44" s="102" t="n">
        <v>-0.1042</v>
      </c>
      <c r="Y44" s="104" t="n">
        <v>-0.1414</v>
      </c>
      <c r="Z44" s="104" t="n">
        <v>-0.0678</v>
      </c>
      <c r="AA44" s="58" t="str">
        <v>primary_subfield</v>
      </c>
      <c r="AB44" s="3"/>
    </row>
    <row r="45" ht="39" customHeight="1">
      <c r="A45" s="3"/>
      <c r="B45" s="59" t="str">
        <v>subfield=Spectroscopy</v>
      </c>
      <c r="C45" s="59" t="str">
        <v>2013-2016</v>
      </c>
      <c r="D45" s="59" t="str">
        <v>2023-2025</v>
      </c>
      <c r="E45" s="45" t="n">
        <v>367</v>
      </c>
      <c r="F45" s="45" t="n">
        <v>581</v>
      </c>
      <c r="G45" s="45" t="n">
        <v>226</v>
      </c>
      <c r="H45" s="45" t="n">
        <v>344</v>
      </c>
      <c r="I45" s="63" t="n">
        <v>41</v>
      </c>
      <c r="J45" s="65" t="n">
        <v>35.5</v>
      </c>
      <c r="K45" s="65" t="n">
        <v>57</v>
      </c>
      <c r="L45" s="63" t="n">
        <v>43</v>
      </c>
      <c r="M45" s="65" t="n">
        <v>33</v>
      </c>
      <c r="N45" s="65" t="n">
        <v>50</v>
      </c>
      <c r="O45" s="63" t="n">
        <v>1.0488</v>
      </c>
      <c r="P45" s="65" t="n">
        <v>0.7018</v>
      </c>
      <c r="Q45" s="65" t="n">
        <v>1.3333</v>
      </c>
      <c r="R45" s="81" t="n">
        <v>0.3052</v>
      </c>
      <c r="S45" s="83" t="n">
        <v>0.2454</v>
      </c>
      <c r="T45" s="83" t="n">
        <v>0.3736</v>
      </c>
      <c r="U45" s="81" t="n">
        <v>0.253</v>
      </c>
      <c r="V45" s="83" t="n">
        <v>0.205</v>
      </c>
      <c r="W45" s="83" t="n">
        <v>0.3041</v>
      </c>
      <c r="X45" s="103" t="n">
        <v>-0.0522</v>
      </c>
      <c r="Y45" s="105" t="n">
        <v>-0.133</v>
      </c>
      <c r="Z45" s="105" t="n">
        <v>0.0321</v>
      </c>
      <c r="AA45" s="59" t="str">
        <v>primary_subfield</v>
      </c>
      <c r="AB45" s="3"/>
    </row>
    <row r="46" ht="39" customHeight="1">
      <c r="A46" s="3"/>
      <c r="B46" s="58" t="str">
        <v>subfield=Cell Biology</v>
      </c>
      <c r="C46" s="58" t="str">
        <v>2013-2016</v>
      </c>
      <c r="D46" s="58" t="str">
        <v>2023-2025</v>
      </c>
      <c r="E46" s="44" t="n">
        <v>79</v>
      </c>
      <c r="F46" s="44" t="n">
        <v>505</v>
      </c>
      <c r="G46" s="44" t="n">
        <v>65</v>
      </c>
      <c r="H46" s="44" t="n">
        <v>370</v>
      </c>
      <c r="I46" s="62" t="n">
        <v>28</v>
      </c>
      <c r="J46" s="64" t="n">
        <v>21</v>
      </c>
      <c r="K46" s="64" t="n">
        <v>44.525</v>
      </c>
      <c r="L46" s="62" t="n">
        <v>16</v>
      </c>
      <c r="M46" s="64" t="n">
        <v>15</v>
      </c>
      <c r="N46" s="64" t="n">
        <v>18</v>
      </c>
      <c r="O46" s="62" t="n">
        <v>0.5714</v>
      </c>
      <c r="P46" s="64" t="n">
        <v>0.3654</v>
      </c>
      <c r="Q46" s="64" t="n">
        <v>0.8571</v>
      </c>
      <c r="R46" s="80" t="n">
        <v>0.1899</v>
      </c>
      <c r="S46" s="82" t="n">
        <v>0.1056</v>
      </c>
      <c r="T46" s="82" t="n">
        <v>0.2964</v>
      </c>
      <c r="U46" s="80" t="n">
        <v>0.0653</v>
      </c>
      <c r="V46" s="82" t="n">
        <v>0.0425</v>
      </c>
      <c r="W46" s="82" t="n">
        <v>0.0933</v>
      </c>
      <c r="X46" s="102" t="n">
        <v>-0.1245</v>
      </c>
      <c r="Y46" s="104" t="n">
        <v>-0.2385</v>
      </c>
      <c r="Z46" s="104" t="n">
        <v>-0.0364</v>
      </c>
      <c r="AA46" s="58" t="str">
        <v>primary_subfield</v>
      </c>
      <c r="AB46" s="3"/>
    </row>
    <row r="47" ht="39" customHeight="1">
      <c r="A47" s="3"/>
      <c r="B47" s="59" t="str">
        <v>subfield=Plant Science</v>
      </c>
      <c r="C47" s="59" t="str">
        <v>2013-2016</v>
      </c>
      <c r="D47" s="59" t="str">
        <v>2023-2025</v>
      </c>
      <c r="E47" s="45" t="n">
        <v>134</v>
      </c>
      <c r="F47" s="45" t="n">
        <v>322</v>
      </c>
      <c r="G47" s="45" t="n">
        <v>96</v>
      </c>
      <c r="H47" s="45" t="n">
        <v>235</v>
      </c>
      <c r="I47" s="63" t="n">
        <v>20</v>
      </c>
      <c r="J47" s="65" t="n">
        <v>14.2375</v>
      </c>
      <c r="K47" s="65" t="n">
        <v>24</v>
      </c>
      <c r="L47" s="63" t="n">
        <v>13.5</v>
      </c>
      <c r="M47" s="65" t="n">
        <v>12</v>
      </c>
      <c r="N47" s="65" t="n">
        <v>18</v>
      </c>
      <c r="O47" s="63" t="n">
        <v>0.675</v>
      </c>
      <c r="P47" s="65" t="n">
        <v>0.5217</v>
      </c>
      <c r="Q47" s="65" t="n">
        <v>1.0492</v>
      </c>
      <c r="R47" s="81" t="n">
        <v>0.097</v>
      </c>
      <c r="S47" s="83" t="n">
        <v>0.0491</v>
      </c>
      <c r="T47" s="83" t="n">
        <v>0.1635</v>
      </c>
      <c r="U47" s="81" t="n">
        <v>0.0528</v>
      </c>
      <c r="V47" s="83" t="n">
        <v>0.0303</v>
      </c>
      <c r="W47" s="83" t="n">
        <v>0.078</v>
      </c>
      <c r="X47" s="103" t="n">
        <v>-0.0442</v>
      </c>
      <c r="Y47" s="105" t="n">
        <v>-0.1094</v>
      </c>
      <c r="Z47" s="105" t="n">
        <v>0.0172</v>
      </c>
      <c r="AA47" s="59" t="str">
        <v>primary_subfield</v>
      </c>
      <c r="AB47" s="3"/>
    </row>
    <row r="48" ht="39" customHeight="1">
      <c r="A48" s="3"/>
      <c r="B48" s="58" t="str">
        <v>subfield=Immunology</v>
      </c>
      <c r="C48" s="58" t="str">
        <v>2013-2016</v>
      </c>
      <c r="D48" s="58" t="str">
        <v>2023-2025</v>
      </c>
      <c r="E48" s="44" t="n">
        <v>85</v>
      </c>
      <c r="F48" s="44" t="n">
        <v>403</v>
      </c>
      <c r="G48" s="44" t="n">
        <v>50</v>
      </c>
      <c r="H48" s="44" t="n">
        <v>314</v>
      </c>
      <c r="I48" s="62" t="n">
        <v>24</v>
      </c>
      <c r="J48" s="64" t="n">
        <v>20</v>
      </c>
      <c r="K48" s="64" t="n">
        <v>60</v>
      </c>
      <c r="L48" s="62" t="n">
        <v>14</v>
      </c>
      <c r="M48" s="64" t="n">
        <v>12</v>
      </c>
      <c r="N48" s="64" t="n">
        <v>18</v>
      </c>
      <c r="O48" s="62" t="n">
        <v>0.5833</v>
      </c>
      <c r="P48" s="64" t="n">
        <v>0.2449</v>
      </c>
      <c r="Q48" s="64" t="n">
        <v>0.75</v>
      </c>
      <c r="R48" s="80" t="n">
        <v>0.1882</v>
      </c>
      <c r="S48" s="82" t="n">
        <v>0.0875</v>
      </c>
      <c r="T48" s="82" t="n">
        <v>0.3743</v>
      </c>
      <c r="U48" s="80" t="n">
        <v>0.072</v>
      </c>
      <c r="V48" s="82" t="n">
        <v>0.0462</v>
      </c>
      <c r="W48" s="82" t="n">
        <v>0.098</v>
      </c>
      <c r="X48" s="102" t="n">
        <v>-0.1163</v>
      </c>
      <c r="Y48" s="104" t="n">
        <v>-0.3048</v>
      </c>
      <c r="Z48" s="104" t="n">
        <v>-0.0089</v>
      </c>
      <c r="AA48" s="58" t="str">
        <v>primary_subfield</v>
      </c>
      <c r="AB48" s="3"/>
    </row>
    <row r="49" ht="39" customHeight="1">
      <c r="A49" s="3"/>
      <c r="B49" s="59" t="str">
        <v>subfield=Genetics</v>
      </c>
      <c r="C49" s="59" t="str">
        <v>2013-2016</v>
      </c>
      <c r="D49" s="59" t="str">
        <v>2023-2025</v>
      </c>
      <c r="E49" s="45" t="n">
        <v>67</v>
      </c>
      <c r="F49" s="45" t="n">
        <v>399</v>
      </c>
      <c r="G49" s="45" t="n">
        <v>55</v>
      </c>
      <c r="H49" s="45" t="n">
        <v>309</v>
      </c>
      <c r="I49" s="63" t="n">
        <v>24</v>
      </c>
      <c r="J49" s="65" t="n">
        <v>17.2375</v>
      </c>
      <c r="K49" s="65" t="n">
        <v>37.5</v>
      </c>
      <c r="L49" s="63" t="n">
        <v>15</v>
      </c>
      <c r="M49" s="65" t="n">
        <v>12</v>
      </c>
      <c r="N49" s="65" t="n">
        <v>18</v>
      </c>
      <c r="O49" s="63" t="n">
        <v>0.625</v>
      </c>
      <c r="P49" s="65" t="n">
        <v>0.3636</v>
      </c>
      <c r="Q49" s="65" t="n">
        <v>0.9048</v>
      </c>
      <c r="R49" s="81" t="n">
        <v>0.1642</v>
      </c>
      <c r="S49" s="83" t="n">
        <v>0.08</v>
      </c>
      <c r="T49" s="83" t="n">
        <v>0.2689</v>
      </c>
      <c r="U49" s="81" t="n">
        <v>0.0877</v>
      </c>
      <c r="V49" s="83" t="n">
        <v>0.0613</v>
      </c>
      <c r="W49" s="83" t="n">
        <v>0.1195</v>
      </c>
      <c r="X49" s="103" t="n">
        <v>-0.0765</v>
      </c>
      <c r="Y49" s="105" t="n">
        <v>-0.1887</v>
      </c>
      <c r="Z49" s="105" t="n">
        <v>0.019</v>
      </c>
      <c r="AA49" s="59" t="str">
        <v>primary_subfield</v>
      </c>
      <c r="AB49" s="3"/>
    </row>
    <row r="50" ht="39" customHeight="1">
      <c r="A50" s="3"/>
      <c r="B50" s="58" t="str">
        <v>subfield=Epidemiology</v>
      </c>
      <c r="C50" s="58" t="str">
        <v>2013-2016</v>
      </c>
      <c r="D50" s="58" t="str">
        <v>2023-2025</v>
      </c>
      <c r="E50" s="44" t="n">
        <v>60</v>
      </c>
      <c r="F50" s="44" t="n">
        <v>372</v>
      </c>
      <c r="G50" s="44" t="n">
        <v>49</v>
      </c>
      <c r="H50" s="44" t="n">
        <v>275</v>
      </c>
      <c r="I50" s="62" t="n">
        <v>30</v>
      </c>
      <c r="J50" s="64" t="n">
        <v>18</v>
      </c>
      <c r="K50" s="64" t="n">
        <v>54</v>
      </c>
      <c r="L50" s="62" t="n">
        <v>18</v>
      </c>
      <c r="M50" s="64" t="n">
        <v>13</v>
      </c>
      <c r="N50" s="64" t="n">
        <v>20</v>
      </c>
      <c r="O50" s="62" t="n">
        <v>0.6</v>
      </c>
      <c r="P50" s="64" t="n">
        <v>0.3244</v>
      </c>
      <c r="Q50" s="64" t="n">
        <v>0.9488</v>
      </c>
      <c r="R50" s="80" t="n">
        <v>0.2333</v>
      </c>
      <c r="S50" s="82" t="n">
        <v>0.1259</v>
      </c>
      <c r="T50" s="82" t="n">
        <v>0.3644</v>
      </c>
      <c r="U50" s="80" t="n">
        <v>0.0968</v>
      </c>
      <c r="V50" s="82" t="n">
        <v>0.065</v>
      </c>
      <c r="W50" s="82" t="n">
        <v>0.1345</v>
      </c>
      <c r="X50" s="102" t="n">
        <v>-0.1366</v>
      </c>
      <c r="Y50" s="104" t="n">
        <v>-0.284</v>
      </c>
      <c r="Z50" s="104" t="n">
        <v>-0.0287</v>
      </c>
      <c r="AA50" s="58" t="str">
        <v>primary_subfield</v>
      </c>
      <c r="AB50" s="3"/>
    </row>
    <row r="51" ht="39" customHeight="1">
      <c r="A51" s="3"/>
      <c r="B51" s="59" t="str">
        <v>subfield=Oncology</v>
      </c>
      <c r="C51" s="59" t="str">
        <v>2013-2016</v>
      </c>
      <c r="D51" s="59" t="str">
        <v>2023-2025</v>
      </c>
      <c r="E51" s="45" t="n">
        <v>72</v>
      </c>
      <c r="F51" s="45" t="n">
        <v>337</v>
      </c>
      <c r="G51" s="45" t="n">
        <v>58</v>
      </c>
      <c r="H51" s="45" t="n">
        <v>249</v>
      </c>
      <c r="I51" s="63" t="n">
        <v>44</v>
      </c>
      <c r="J51" s="65" t="n">
        <v>26.2375</v>
      </c>
      <c r="K51" s="65" t="n">
        <v>64</v>
      </c>
      <c r="L51" s="63" t="n">
        <v>18</v>
      </c>
      <c r="M51" s="65" t="n">
        <v>15</v>
      </c>
      <c r="N51" s="65" t="n">
        <v>22</v>
      </c>
      <c r="O51" s="63" t="n">
        <v>0.4091</v>
      </c>
      <c r="P51" s="65" t="n">
        <v>0.2812</v>
      </c>
      <c r="Q51" s="65" t="n">
        <v>0.7321</v>
      </c>
      <c r="R51" s="81" t="n">
        <v>0.2222</v>
      </c>
      <c r="S51" s="83" t="n">
        <v>0.1312</v>
      </c>
      <c r="T51" s="83" t="n">
        <v>0.3235</v>
      </c>
      <c r="U51" s="81" t="n">
        <v>0.1276</v>
      </c>
      <c r="V51" s="83" t="n">
        <v>0.0882</v>
      </c>
      <c r="W51" s="83" t="n">
        <v>0.176</v>
      </c>
      <c r="X51" s="103" t="n">
        <v>-0.0946</v>
      </c>
      <c r="Y51" s="105" t="n">
        <v>-0.1991</v>
      </c>
      <c r="Z51" s="105" t="n">
        <v>0.0029</v>
      </c>
      <c r="AA51" s="59" t="str">
        <v>primary_subfield</v>
      </c>
      <c r="AB51" s="3"/>
    </row>
    <row r="52" ht="39" customHeight="1">
      <c r="A52" s="3"/>
      <c r="B52" s="58" t="str">
        <v>like-for-like: Thermo, DIA &amp; TMT not detected, human, publication linked</v>
      </c>
      <c r="C52" s="58" t="str">
        <v>2013-2016</v>
      </c>
      <c r="D52" s="58" t="str">
        <v>2023-2025</v>
      </c>
      <c r="E52" s="44" t="n">
        <v>792</v>
      </c>
      <c r="F52" s="44" t="n">
        <v>3120</v>
      </c>
      <c r="G52" s="44" t="n">
        <v>461</v>
      </c>
      <c r="H52" s="44" t="n">
        <v>1950</v>
      </c>
      <c r="I52" s="62" t="n">
        <v>40</v>
      </c>
      <c r="J52" s="64" t="n">
        <v>32.7375</v>
      </c>
      <c r="K52" s="64" t="n">
        <v>49</v>
      </c>
      <c r="L52" s="62" t="n">
        <v>18</v>
      </c>
      <c r="M52" s="64" t="n">
        <v>16</v>
      </c>
      <c r="N52" s="64" t="n">
        <v>18</v>
      </c>
      <c r="O52" s="62" t="n">
        <v>0.45</v>
      </c>
      <c r="P52" s="64" t="n">
        <v>0.3333</v>
      </c>
      <c r="Q52" s="64" t="n">
        <v>0.5455</v>
      </c>
      <c r="R52" s="80" t="n">
        <v>0.25</v>
      </c>
      <c r="S52" s="82" t="n">
        <v>0.2007</v>
      </c>
      <c r="T52" s="82" t="n">
        <v>0.3023</v>
      </c>
      <c r="U52" s="80" t="n">
        <v>0.1029</v>
      </c>
      <c r="V52" s="82" t="n">
        <v>0.0895</v>
      </c>
      <c r="W52" s="82" t="n">
        <v>0.1155</v>
      </c>
      <c r="X52" s="102" t="n">
        <v>-0.1471</v>
      </c>
      <c r="Y52" s="104" t="n">
        <v>-0.2034</v>
      </c>
      <c r="Z52" s="104" t="n">
        <v>-0.0952</v>
      </c>
      <c r="AA52" s="58" t="str">
        <v>like_for_like</v>
      </c>
      <c r="AB52" s="3"/>
    </row>
    <row r="53" ht="39" customHeight="1">
      <c r="A53" s="3"/>
      <c r="B53" s="59" t="str">
        <v>like-for-like: Thermo, DIA &amp; TMT not detected, non-human</v>
      </c>
      <c r="C53" s="59" t="str">
        <v>2013-2016</v>
      </c>
      <c r="D53" s="59" t="str">
        <v>2023-2025</v>
      </c>
      <c r="E53" s="45" t="n">
        <v>1112</v>
      </c>
      <c r="F53" s="45" t="n">
        <v>4624</v>
      </c>
      <c r="G53" s="45" t="n">
        <v>689</v>
      </c>
      <c r="H53" s="45" t="n">
        <v>2671</v>
      </c>
      <c r="I53" s="63" t="n">
        <v>28</v>
      </c>
      <c r="J53" s="65" t="n">
        <v>24</v>
      </c>
      <c r="K53" s="65" t="n">
        <v>32</v>
      </c>
      <c r="L53" s="63" t="n">
        <v>14</v>
      </c>
      <c r="M53" s="65" t="n">
        <v>12</v>
      </c>
      <c r="N53" s="65" t="n">
        <v>15</v>
      </c>
      <c r="O53" s="63" t="n">
        <v>0.5</v>
      </c>
      <c r="P53" s="65" t="n">
        <v>0.4138</v>
      </c>
      <c r="Q53" s="65" t="n">
        <v>0.625</v>
      </c>
      <c r="R53" s="81" t="n">
        <v>0.1888</v>
      </c>
      <c r="S53" s="83" t="n">
        <v>0.1621</v>
      </c>
      <c r="T53" s="83" t="n">
        <v>0.2241</v>
      </c>
      <c r="U53" s="81" t="n">
        <v>0.0541</v>
      </c>
      <c r="V53" s="83" t="n">
        <v>0.0458</v>
      </c>
      <c r="W53" s="83" t="n">
        <v>0.062</v>
      </c>
      <c r="X53" s="103" t="n">
        <v>-0.1348</v>
      </c>
      <c r="Y53" s="105" t="n">
        <v>-0.1686</v>
      </c>
      <c r="Z53" s="105" t="n">
        <v>-0.1068</v>
      </c>
      <c r="AA53" s="59" t="str">
        <v>like_for_like</v>
      </c>
      <c r="AB53" s="3"/>
    </row>
    <row r="54" ht="39" customHeight="1">
      <c r="A54" s="3"/>
      <c r="B54" s="58" t="str">
        <v>like-for-like: Thermo, exact, &gt;=4 runs, no fraction-token family</v>
      </c>
      <c r="C54" s="58" t="str">
        <v>2013-2016</v>
      </c>
      <c r="D54" s="58" t="str">
        <v>2023-2025</v>
      </c>
      <c r="E54" s="44" t="n">
        <v>1634</v>
      </c>
      <c r="F54" s="44" t="n">
        <v>9708</v>
      </c>
      <c r="G54" s="44" t="n">
        <v>921</v>
      </c>
      <c r="H54" s="44" t="n">
        <v>4930</v>
      </c>
      <c r="I54" s="62" t="n">
        <v>30</v>
      </c>
      <c r="J54" s="64" t="n">
        <v>28</v>
      </c>
      <c r="K54" s="64" t="n">
        <v>36</v>
      </c>
      <c r="L54" s="62" t="n">
        <v>18</v>
      </c>
      <c r="M54" s="64" t="n">
        <v>18</v>
      </c>
      <c r="N54" s="64" t="n">
        <v>20</v>
      </c>
      <c r="O54" s="62" t="n">
        <v>0.6</v>
      </c>
      <c r="P54" s="64" t="n">
        <v>0.5105</v>
      </c>
      <c r="Q54" s="64" t="n">
        <v>0.6667</v>
      </c>
      <c r="R54" s="80" t="n">
        <v>0.1824</v>
      </c>
      <c r="S54" s="82" t="n">
        <v>0.1568</v>
      </c>
      <c r="T54" s="82" t="n">
        <v>0.2084</v>
      </c>
      <c r="U54" s="80" t="n">
        <v>0.0862</v>
      </c>
      <c r="V54" s="82" t="n">
        <v>0.0784</v>
      </c>
      <c r="W54" s="82" t="n">
        <v>0.0943</v>
      </c>
      <c r="X54" s="102" t="n">
        <v>-0.0962</v>
      </c>
      <c r="Y54" s="104" t="n">
        <v>-0.1231</v>
      </c>
      <c r="Z54" s="104" t="n">
        <v>-0.0713</v>
      </c>
      <c r="AA54" s="58" t="str">
        <v>like_for_like</v>
      </c>
      <c r="AB54" s="3"/>
    </row>
    <row r="55" ht="27" customHeight="1">
      <c r="A55" s="3"/>
      <c r="B55" s="59" t="str">
        <v>country=Unresolved</v>
      </c>
      <c r="C55" s="59" t="str">
        <v>2013-2016</v>
      </c>
      <c r="D55" s="59" t="str">
        <v>2023-2025</v>
      </c>
      <c r="E55" s="45" t="n">
        <v>546</v>
      </c>
      <c r="F55" s="45" t="n">
        <v>3399</v>
      </c>
      <c r="G55" s="45" t="n">
        <v>422</v>
      </c>
      <c r="H55" s="45" t="n">
        <v>2308</v>
      </c>
      <c r="I55" s="63" t="n">
        <v>30</v>
      </c>
      <c r="J55" s="65" t="n">
        <v>26</v>
      </c>
      <c r="K55" s="65" t="n">
        <v>36</v>
      </c>
      <c r="L55" s="63" t="n">
        <v>15</v>
      </c>
      <c r="M55" s="65" t="n">
        <v>15</v>
      </c>
      <c r="N55" s="65" t="n">
        <v>16</v>
      </c>
      <c r="O55" s="63" t="n">
        <v>0.5</v>
      </c>
      <c r="P55" s="65" t="n">
        <v>0.4167</v>
      </c>
      <c r="Q55" s="65" t="n">
        <v>0.5926</v>
      </c>
      <c r="R55" s="81" t="n">
        <v>0.2125</v>
      </c>
      <c r="S55" s="83" t="n">
        <v>0.1792</v>
      </c>
      <c r="T55" s="83" t="n">
        <v>0.2496</v>
      </c>
      <c r="U55" s="81" t="n">
        <v>0.0815</v>
      </c>
      <c r="V55" s="83" t="n">
        <v>0.0719</v>
      </c>
      <c r="W55" s="83" t="n">
        <v>0.0915</v>
      </c>
      <c r="X55" s="103" t="n">
        <v>-0.131</v>
      </c>
      <c r="Y55" s="105" t="n">
        <v>-0.1706</v>
      </c>
      <c r="Z55" s="105" t="n">
        <v>-0.0955</v>
      </c>
      <c r="AA55" s="59" t="str">
        <v>country</v>
      </c>
      <c r="AB55" s="3"/>
    </row>
    <row r="56" ht="27" customHeight="1">
      <c r="A56" s="3"/>
      <c r="B56" s="58" t="str">
        <v>country=United States</v>
      </c>
      <c r="C56" s="58" t="str">
        <v>2013-2016</v>
      </c>
      <c r="D56" s="58" t="str">
        <v>2023-2025</v>
      </c>
      <c r="E56" s="44" t="n">
        <v>362</v>
      </c>
      <c r="F56" s="44" t="n">
        <v>2178</v>
      </c>
      <c r="G56" s="44" t="n">
        <v>187</v>
      </c>
      <c r="H56" s="44" t="n">
        <v>965</v>
      </c>
      <c r="I56" s="62" t="n">
        <v>33</v>
      </c>
      <c r="J56" s="64" t="n">
        <v>24</v>
      </c>
      <c r="K56" s="64" t="n">
        <v>48</v>
      </c>
      <c r="L56" s="62" t="n">
        <v>20</v>
      </c>
      <c r="M56" s="64" t="n">
        <v>18</v>
      </c>
      <c r="N56" s="64" t="n">
        <v>21</v>
      </c>
      <c r="O56" s="62" t="n">
        <v>0.6061</v>
      </c>
      <c r="P56" s="64" t="n">
        <v>0.3958</v>
      </c>
      <c r="Q56" s="64" t="n">
        <v>0.8333</v>
      </c>
      <c r="R56" s="80" t="n">
        <v>0.2072</v>
      </c>
      <c r="S56" s="82" t="n">
        <v>0.1236</v>
      </c>
      <c r="T56" s="82" t="n">
        <v>0.3118</v>
      </c>
      <c r="U56" s="80" t="n">
        <v>0.1001</v>
      </c>
      <c r="V56" s="82" t="n">
        <v>0.0802</v>
      </c>
      <c r="W56" s="82" t="n">
        <v>0.1206</v>
      </c>
      <c r="X56" s="102" t="n">
        <v>-0.1071</v>
      </c>
      <c r="Y56" s="104" t="n">
        <v>-0.2135</v>
      </c>
      <c r="Z56" s="104" t="n">
        <v>-0.0256</v>
      </c>
      <c r="AA56" s="58" t="str">
        <v>country</v>
      </c>
      <c r="AB56" s="3"/>
    </row>
    <row r="57" ht="27" customHeight="1">
      <c r="A57" s="3"/>
      <c r="B57" s="59" t="str">
        <v>country=Germany</v>
      </c>
      <c r="C57" s="59" t="str">
        <v>2013-2016</v>
      </c>
      <c r="D57" s="59" t="str">
        <v>2023-2025</v>
      </c>
      <c r="E57" s="45" t="n">
        <v>294</v>
      </c>
      <c r="F57" s="45" t="n">
        <v>1818</v>
      </c>
      <c r="G57" s="45" t="n">
        <v>125</v>
      </c>
      <c r="H57" s="45" t="n">
        <v>600</v>
      </c>
      <c r="I57" s="63" t="n">
        <v>48</v>
      </c>
      <c r="J57" s="65" t="n">
        <v>36</v>
      </c>
      <c r="K57" s="65" t="n">
        <v>60</v>
      </c>
      <c r="L57" s="63" t="n">
        <v>22</v>
      </c>
      <c r="M57" s="65" t="n">
        <v>20</v>
      </c>
      <c r="N57" s="65" t="n">
        <v>24</v>
      </c>
      <c r="O57" s="63" t="n">
        <v>0.4583</v>
      </c>
      <c r="P57" s="65" t="n">
        <v>0.3391</v>
      </c>
      <c r="Q57" s="65" t="n">
        <v>0.6667</v>
      </c>
      <c r="R57" s="81" t="n">
        <v>0.2517</v>
      </c>
      <c r="S57" s="83" t="n">
        <v>0.1736</v>
      </c>
      <c r="T57" s="83" t="n">
        <v>0.3316</v>
      </c>
      <c r="U57" s="81" t="n">
        <v>0.1183</v>
      </c>
      <c r="V57" s="83" t="n">
        <v>0.0971</v>
      </c>
      <c r="W57" s="83" t="n">
        <v>0.1398</v>
      </c>
      <c r="X57" s="103" t="n">
        <v>-0.1334</v>
      </c>
      <c r="Y57" s="105" t="n">
        <v>-0.2228</v>
      </c>
      <c r="Z57" s="105" t="n">
        <v>-0.0565</v>
      </c>
      <c r="AA57" s="59" t="str">
        <v>country</v>
      </c>
      <c r="AB57" s="3"/>
    </row>
    <row r="58" ht="27" customHeight="1">
      <c r="A58" s="3"/>
      <c r="B58" s="58" t="str">
        <v>country=United Kingdom</v>
      </c>
      <c r="C58" s="58" t="str">
        <v>2013-2016</v>
      </c>
      <c r="D58" s="58" t="str">
        <v>2023-2025</v>
      </c>
      <c r="E58" s="44" t="n">
        <v>203</v>
      </c>
      <c r="F58" s="44" t="n">
        <v>767</v>
      </c>
      <c r="G58" s="44" t="n">
        <v>99</v>
      </c>
      <c r="H58" s="44" t="n">
        <v>361</v>
      </c>
      <c r="I58" s="62" t="n">
        <v>22</v>
      </c>
      <c r="J58" s="64" t="n">
        <v>18</v>
      </c>
      <c r="K58" s="64" t="n">
        <v>39.3625</v>
      </c>
      <c r="L58" s="62" t="n">
        <v>18</v>
      </c>
      <c r="M58" s="64" t="n">
        <v>16</v>
      </c>
      <c r="N58" s="64" t="n">
        <v>20</v>
      </c>
      <c r="O58" s="62" t="n">
        <v>0.8182</v>
      </c>
      <c r="P58" s="64" t="n">
        <v>0.4856</v>
      </c>
      <c r="Q58" s="64" t="n">
        <v>1</v>
      </c>
      <c r="R58" s="80" t="n">
        <v>0.1773</v>
      </c>
      <c r="S58" s="82" t="n">
        <v>0.1028</v>
      </c>
      <c r="T58" s="82" t="n">
        <v>0.2642</v>
      </c>
      <c r="U58" s="80" t="n">
        <v>0.0913</v>
      </c>
      <c r="V58" s="82" t="n">
        <v>0.0682</v>
      </c>
      <c r="W58" s="82" t="n">
        <v>0.1173</v>
      </c>
      <c r="X58" s="102" t="n">
        <v>-0.0861</v>
      </c>
      <c r="Y58" s="104" t="n">
        <v>-0.1724</v>
      </c>
      <c r="Z58" s="104" t="n">
        <v>-0.0062</v>
      </c>
      <c r="AA58" s="58" t="str">
        <v>country</v>
      </c>
      <c r="AB58" s="3"/>
    </row>
    <row r="59" ht="27" customHeight="1">
      <c r="A59" s="3"/>
      <c r="B59" s="59" t="str">
        <v>country=France</v>
      </c>
      <c r="C59" s="59" t="str">
        <v>2013-2016</v>
      </c>
      <c r="D59" s="59" t="str">
        <v>2023-2025</v>
      </c>
      <c r="E59" s="45" t="n">
        <v>126</v>
      </c>
      <c r="F59" s="45" t="n">
        <v>537</v>
      </c>
      <c r="G59" s="45" t="n">
        <v>54</v>
      </c>
      <c r="H59" s="45" t="n">
        <v>223</v>
      </c>
      <c r="I59" s="63" t="n">
        <v>23</v>
      </c>
      <c r="J59" s="65" t="n">
        <v>12</v>
      </c>
      <c r="K59" s="65" t="n">
        <v>35</v>
      </c>
      <c r="L59" s="63" t="n">
        <v>16</v>
      </c>
      <c r="M59" s="65" t="n">
        <v>12</v>
      </c>
      <c r="N59" s="65" t="n">
        <v>19</v>
      </c>
      <c r="O59" s="63" t="n">
        <v>0.6957</v>
      </c>
      <c r="P59" s="65" t="n">
        <v>0.4523</v>
      </c>
      <c r="Q59" s="65" t="n">
        <v>1.25</v>
      </c>
      <c r="R59" s="81" t="n">
        <v>0.1508</v>
      </c>
      <c r="S59" s="83" t="n">
        <v>0.0912</v>
      </c>
      <c r="T59" s="83" t="n">
        <v>0.2379</v>
      </c>
      <c r="U59" s="81" t="n">
        <v>0.0801</v>
      </c>
      <c r="V59" s="83" t="n">
        <v>0.0529</v>
      </c>
      <c r="W59" s="83" t="n">
        <v>0.1164</v>
      </c>
      <c r="X59" s="103" t="n">
        <v>-0.0707</v>
      </c>
      <c r="Y59" s="105" t="n">
        <v>-0.1547</v>
      </c>
      <c r="Z59" s="105" t="n">
        <v>-0.0075</v>
      </c>
      <c r="AA59" s="59" t="str">
        <v>country</v>
      </c>
      <c r="AB59" s="3"/>
    </row>
    <row r="60" ht="27" customHeight="1">
      <c r="A60" s="3"/>
      <c r="B60" s="58" t="str">
        <v>country=China</v>
      </c>
      <c r="C60" s="58" t="str">
        <v>2013-2016</v>
      </c>
      <c r="D60" s="58" t="str">
        <v>2023-2025</v>
      </c>
      <c r="E60" s="44" t="n">
        <v>105</v>
      </c>
      <c r="F60" s="44" t="n">
        <v>1557</v>
      </c>
      <c r="G60" s="44" t="n">
        <v>72</v>
      </c>
      <c r="H60" s="44" t="n">
        <v>1081</v>
      </c>
      <c r="I60" s="62" t="n">
        <v>16</v>
      </c>
      <c r="J60" s="64" t="n">
        <v>10</v>
      </c>
      <c r="K60" s="64" t="n">
        <v>20</v>
      </c>
      <c r="L60" s="62" t="n">
        <v>6</v>
      </c>
      <c r="M60" s="64" t="n">
        <v>6</v>
      </c>
      <c r="N60" s="64" t="n">
        <v>6</v>
      </c>
      <c r="O60" s="62" t="n">
        <v>0.375</v>
      </c>
      <c r="P60" s="64" t="n">
        <v>0.3</v>
      </c>
      <c r="Q60" s="64" t="n">
        <v>0.6</v>
      </c>
      <c r="R60" s="80" t="n">
        <v>0.0571</v>
      </c>
      <c r="S60" s="82" t="n">
        <v>0.0094</v>
      </c>
      <c r="T60" s="82" t="n">
        <v>0.1268</v>
      </c>
      <c r="U60" s="80" t="n">
        <v>0.0276</v>
      </c>
      <c r="V60" s="82" t="n">
        <v>0.0151</v>
      </c>
      <c r="W60" s="82" t="n">
        <v>0.0423</v>
      </c>
      <c r="X60" s="102" t="n">
        <v>-0.0295</v>
      </c>
      <c r="Y60" s="104" t="n">
        <v>-0.0972</v>
      </c>
      <c r="Z60" s="104" t="n">
        <v>0.0214</v>
      </c>
      <c r="AA60" s="58" t="str">
        <v>country</v>
      </c>
      <c r="AB60" s="3"/>
    </row>
    <row r="61" ht="27" customHeight="1">
      <c r="A61" s="3"/>
      <c r="B61" s="59" t="str">
        <v>country=Netherlands</v>
      </c>
      <c r="C61" s="59" t="str">
        <v>2013-2016</v>
      </c>
      <c r="D61" s="59" t="str">
        <v>2023-2025</v>
      </c>
      <c r="E61" s="45" t="n">
        <v>102</v>
      </c>
      <c r="F61" s="45" t="n">
        <v>369</v>
      </c>
      <c r="G61" s="45" t="n">
        <v>38</v>
      </c>
      <c r="H61" s="45" t="n">
        <v>103</v>
      </c>
      <c r="I61" s="63" t="n">
        <v>56</v>
      </c>
      <c r="J61" s="65" t="n">
        <v>42</v>
      </c>
      <c r="K61" s="65" t="n">
        <v>78</v>
      </c>
      <c r="L61" s="63" t="n">
        <v>24</v>
      </c>
      <c r="M61" s="65" t="n">
        <v>19.2375</v>
      </c>
      <c r="N61" s="65" t="n">
        <v>28</v>
      </c>
      <c r="O61" s="63" t="n">
        <v>0.4286</v>
      </c>
      <c r="P61" s="65" t="n">
        <v>0.2947</v>
      </c>
      <c r="Q61" s="65" t="n">
        <v>0.5844</v>
      </c>
      <c r="R61" s="81" t="n">
        <v>0.2745</v>
      </c>
      <c r="S61" s="83" t="n">
        <v>0.1381</v>
      </c>
      <c r="T61" s="83" t="n">
        <v>0.392</v>
      </c>
      <c r="U61" s="81" t="n">
        <v>0.1572</v>
      </c>
      <c r="V61" s="83" t="n">
        <v>0.1166</v>
      </c>
      <c r="W61" s="83" t="n">
        <v>0.2018</v>
      </c>
      <c r="X61" s="103" t="n">
        <v>-0.1173</v>
      </c>
      <c r="Y61" s="105" t="n">
        <v>-0.2354</v>
      </c>
      <c r="Z61" s="105" t="n">
        <v>0.0189</v>
      </c>
      <c r="AA61" s="59" t="str">
        <v>country</v>
      </c>
      <c r="AB61" s="3"/>
    </row>
    <row r="62" ht="27" customHeight="1">
      <c r="A62" s="3"/>
      <c r="B62" s="58" t="str">
        <v>country=Switzerland</v>
      </c>
      <c r="C62" s="58" t="str">
        <v>2013-2016</v>
      </c>
      <c r="D62" s="58" t="str">
        <v>2023-2025</v>
      </c>
      <c r="E62" s="44" t="n">
        <v>78</v>
      </c>
      <c r="F62" s="44" t="n">
        <v>351</v>
      </c>
      <c r="G62" s="44" t="n">
        <v>38</v>
      </c>
      <c r="H62" s="44" t="n">
        <v>161</v>
      </c>
      <c r="I62" s="62" t="n">
        <v>45.5</v>
      </c>
      <c r="J62" s="64" t="n">
        <v>24</v>
      </c>
      <c r="K62" s="64" t="n">
        <v>68</v>
      </c>
      <c r="L62" s="62" t="n">
        <v>20</v>
      </c>
      <c r="M62" s="64" t="n">
        <v>16</v>
      </c>
      <c r="N62" s="64" t="n">
        <v>24</v>
      </c>
      <c r="O62" s="62" t="n">
        <v>0.4396</v>
      </c>
      <c r="P62" s="64" t="n">
        <v>0.2656</v>
      </c>
      <c r="Q62" s="64" t="n">
        <v>0.8066</v>
      </c>
      <c r="R62" s="80" t="n">
        <v>0.2692</v>
      </c>
      <c r="S62" s="82" t="n">
        <v>0.1401</v>
      </c>
      <c r="T62" s="82" t="n">
        <v>0.4256</v>
      </c>
      <c r="U62" s="80" t="n">
        <v>0.0855</v>
      </c>
      <c r="V62" s="82" t="n">
        <v>0.0518</v>
      </c>
      <c r="W62" s="82" t="n">
        <v>0.1193</v>
      </c>
      <c r="X62" s="102" t="n">
        <v>-0.1838</v>
      </c>
      <c r="Y62" s="104" t="n">
        <v>-0.3417</v>
      </c>
      <c r="Z62" s="104" t="n">
        <v>-0.0599</v>
      </c>
      <c r="AA62" s="58" t="str">
        <v>country</v>
      </c>
      <c r="AB62" s="3"/>
    </row>
    <row r="63" ht="27" customHeight="1">
      <c r="A63" s="3"/>
      <c r="B63" s="59" t="str">
        <v>country=Denmark</v>
      </c>
      <c r="C63" s="59" t="str">
        <v>2013-2016</v>
      </c>
      <c r="D63" s="59" t="str">
        <v>2023-2025</v>
      </c>
      <c r="E63" s="45" t="n">
        <v>73</v>
      </c>
      <c r="F63" s="45" t="n">
        <v>284</v>
      </c>
      <c r="G63" s="45" t="n">
        <v>31</v>
      </c>
      <c r="H63" s="45" t="n">
        <v>98</v>
      </c>
      <c r="I63" s="63" t="n">
        <v>36</v>
      </c>
      <c r="J63" s="65" t="n">
        <v>24.2375</v>
      </c>
      <c r="K63" s="65" t="n">
        <v>50</v>
      </c>
      <c r="L63" s="63" t="n">
        <v>26</v>
      </c>
      <c r="M63" s="65" t="n">
        <v>18.5</v>
      </c>
      <c r="N63" s="65" t="n">
        <v>40</v>
      </c>
      <c r="O63" s="63" t="n">
        <v>0.7222</v>
      </c>
      <c r="P63" s="65" t="n">
        <v>0.4521</v>
      </c>
      <c r="Q63" s="65" t="n">
        <v>1.2308</v>
      </c>
      <c r="R63" s="81" t="n">
        <v>0.1644</v>
      </c>
      <c r="S63" s="83" t="n">
        <v>0.0873</v>
      </c>
      <c r="T63" s="83" t="n">
        <v>0.2545</v>
      </c>
      <c r="U63" s="81" t="n">
        <v>0.1866</v>
      </c>
      <c r="V63" s="83" t="n">
        <v>0.0859</v>
      </c>
      <c r="W63" s="83" t="n">
        <v>0.2893</v>
      </c>
      <c r="X63" s="103" t="n">
        <v>0.0222</v>
      </c>
      <c r="Y63" s="105" t="n">
        <v>-0.1189</v>
      </c>
      <c r="Z63" s="105" t="n">
        <v>0.1414</v>
      </c>
      <c r="AA63" s="59" t="str">
        <v>country</v>
      </c>
      <c r="AB63" s="3"/>
    </row>
    <row r="64" ht="27" customHeight="1">
      <c r="A64" s="3"/>
      <c r="B64" s="58" t="str">
        <v>country=Canada</v>
      </c>
      <c r="C64" s="58" t="str">
        <v>2013-2016</v>
      </c>
      <c r="D64" s="58" t="str">
        <v>2023-2025</v>
      </c>
      <c r="E64" s="44" t="n">
        <v>60</v>
      </c>
      <c r="F64" s="44" t="n">
        <v>329</v>
      </c>
      <c r="G64" s="44" t="n">
        <v>27</v>
      </c>
      <c r="H64" s="44" t="n">
        <v>141</v>
      </c>
      <c r="I64" s="62" t="n">
        <v>35</v>
      </c>
      <c r="J64" s="64" t="n">
        <v>24</v>
      </c>
      <c r="K64" s="64" t="n">
        <v>108</v>
      </c>
      <c r="L64" s="62" t="n">
        <v>18</v>
      </c>
      <c r="M64" s="64" t="n">
        <v>12</v>
      </c>
      <c r="N64" s="64" t="n">
        <v>25</v>
      </c>
      <c r="O64" s="62" t="n">
        <v>0.5143</v>
      </c>
      <c r="P64" s="64" t="n">
        <v>0.1667</v>
      </c>
      <c r="Q64" s="64" t="n">
        <v>0.981</v>
      </c>
      <c r="R64" s="80" t="n">
        <v>0.3167</v>
      </c>
      <c r="S64" s="82" t="n">
        <v>0.086</v>
      </c>
      <c r="T64" s="82" t="n">
        <v>0.5371</v>
      </c>
      <c r="U64" s="80" t="n">
        <v>0.1064</v>
      </c>
      <c r="V64" s="82" t="n">
        <v>0.0686</v>
      </c>
      <c r="W64" s="82" t="n">
        <v>0.1536</v>
      </c>
      <c r="X64" s="102" t="n">
        <v>-0.2103</v>
      </c>
      <c r="Y64" s="104" t="n">
        <v>-0.4324</v>
      </c>
      <c r="Z64" s="104" t="n">
        <v>0.0393</v>
      </c>
      <c r="AA64" s="58" t="str">
        <v>country</v>
      </c>
      <c r="AB64" s="3"/>
    </row>
    <row r="65" ht="27" customHeight="1">
      <c r="A65" s="3"/>
      <c r="B65" s="59" t="str">
        <v>country=Spain</v>
      </c>
      <c r="C65" s="59" t="str">
        <v>2013-2016</v>
      </c>
      <c r="D65" s="59" t="str">
        <v>2023-2025</v>
      </c>
      <c r="E65" s="45" t="n">
        <v>59</v>
      </c>
      <c r="F65" s="45" t="n">
        <v>347</v>
      </c>
      <c r="G65" s="45" t="n">
        <v>38</v>
      </c>
      <c r="H65" s="45" t="n">
        <v>177</v>
      </c>
      <c r="I65" s="63" t="n">
        <v>18</v>
      </c>
      <c r="J65" s="65" t="n">
        <v>9.5</v>
      </c>
      <c r="K65" s="65" t="n">
        <v>25</v>
      </c>
      <c r="L65" s="63" t="n">
        <v>16</v>
      </c>
      <c r="M65" s="65" t="n">
        <v>12.7375</v>
      </c>
      <c r="N65" s="65" t="n">
        <v>18</v>
      </c>
      <c r="O65" s="63" t="n">
        <v>0.8889</v>
      </c>
      <c r="P65" s="65" t="n">
        <v>0.6018</v>
      </c>
      <c r="Q65" s="65" t="n">
        <v>1.7778</v>
      </c>
      <c r="R65" s="81" t="n">
        <v>0.1525</v>
      </c>
      <c r="S65" s="83" t="n">
        <v>0.0663</v>
      </c>
      <c r="T65" s="83" t="n">
        <v>0.2557</v>
      </c>
      <c r="U65" s="81" t="n">
        <v>0.0663</v>
      </c>
      <c r="V65" s="83" t="n">
        <v>0.0372</v>
      </c>
      <c r="W65" s="83" t="n">
        <v>0.0952</v>
      </c>
      <c r="X65" s="103" t="n">
        <v>-0.0863</v>
      </c>
      <c r="Y65" s="105" t="n">
        <v>-0.1925</v>
      </c>
      <c r="Z65" s="105" t="n">
        <v>0.0021</v>
      </c>
      <c r="AA65" s="59" t="str">
        <v>country</v>
      </c>
      <c r="AB65" s="3"/>
    </row>
    <row r="66" ht="27" customHeight="1">
      <c r="A66" s="3"/>
      <c r="B66" s="58" t="str">
        <v>country=Austria</v>
      </c>
      <c r="C66" s="58" t="str">
        <v>2013-2016</v>
      </c>
      <c r="D66" s="58" t="str">
        <v>2023-2025</v>
      </c>
      <c r="E66" s="44" t="n">
        <v>57</v>
      </c>
      <c r="F66" s="44" t="n">
        <v>216</v>
      </c>
      <c r="G66" s="44" t="n">
        <v>17</v>
      </c>
      <c r="H66" s="44" t="n">
        <v>83</v>
      </c>
      <c r="I66" s="62" t="n">
        <v>16</v>
      </c>
      <c r="J66" s="64" t="n">
        <v>12</v>
      </c>
      <c r="K66" s="64" t="n">
        <v>86</v>
      </c>
      <c r="L66" s="62" t="n">
        <v>20</v>
      </c>
      <c r="M66" s="64" t="n">
        <v>12</v>
      </c>
      <c r="N66" s="64" t="n">
        <v>26</v>
      </c>
      <c r="O66" s="62" t="n">
        <v>1.25</v>
      </c>
      <c r="P66" s="64" t="n">
        <v>0.1875</v>
      </c>
      <c r="Q66" s="64" t="n">
        <v>2</v>
      </c>
      <c r="R66" s="80" t="n">
        <v>0.0877</v>
      </c>
      <c r="S66" s="82" t="n">
        <v>0</v>
      </c>
      <c r="T66" s="82" t="n">
        <v>0.4039</v>
      </c>
      <c r="U66" s="80" t="n">
        <v>0.0648</v>
      </c>
      <c r="V66" s="82" t="n">
        <v>0.0263</v>
      </c>
      <c r="W66" s="82" t="n">
        <v>0.117</v>
      </c>
      <c r="X66" s="102" t="n">
        <v>-0.0229</v>
      </c>
      <c r="Y66" s="104" t="n">
        <v>-0.3254</v>
      </c>
      <c r="Z66" s="104" t="n">
        <v>0.061</v>
      </c>
      <c r="AA66" s="58" t="str">
        <v>country</v>
      </c>
      <c r="AB66" s="3"/>
    </row>
    <row r="67" ht="27" customHeight="1">
      <c r="A67" s="3"/>
      <c r="B67" s="59" t="str">
        <v>country=Australia</v>
      </c>
      <c r="C67" s="59" t="str">
        <v>2013-2016</v>
      </c>
      <c r="D67" s="59" t="str">
        <v>2023-2025</v>
      </c>
      <c r="E67" s="45" t="n">
        <v>55</v>
      </c>
      <c r="F67" s="45" t="n">
        <v>477</v>
      </c>
      <c r="G67" s="45" t="n">
        <v>41</v>
      </c>
      <c r="H67" s="45" t="n">
        <v>196</v>
      </c>
      <c r="I67" s="63" t="n">
        <v>16</v>
      </c>
      <c r="J67" s="65" t="n">
        <v>11</v>
      </c>
      <c r="K67" s="65" t="n">
        <v>38</v>
      </c>
      <c r="L67" s="63" t="n">
        <v>24</v>
      </c>
      <c r="M67" s="65" t="n">
        <v>18</v>
      </c>
      <c r="N67" s="65" t="n">
        <v>28</v>
      </c>
      <c r="O67" s="63" t="n">
        <v>1.5</v>
      </c>
      <c r="P67" s="65" t="n">
        <v>0.545</v>
      </c>
      <c r="Q67" s="65" t="n">
        <v>2.2619</v>
      </c>
      <c r="R67" s="81" t="n">
        <v>0.1636</v>
      </c>
      <c r="S67" s="83" t="n">
        <v>0.0818</v>
      </c>
      <c r="T67" s="83" t="n">
        <v>0.2739</v>
      </c>
      <c r="U67" s="81" t="n">
        <v>0.109</v>
      </c>
      <c r="V67" s="83" t="n">
        <v>0.0676</v>
      </c>
      <c r="W67" s="83" t="n">
        <v>0.1588</v>
      </c>
      <c r="X67" s="103" t="n">
        <v>-0.0546</v>
      </c>
      <c r="Y67" s="105" t="n">
        <v>-0.1717</v>
      </c>
      <c r="Z67" s="105" t="n">
        <v>0.0401</v>
      </c>
      <c r="AA67" s="59" t="str">
        <v>country</v>
      </c>
      <c r="AB67" s="3"/>
    </row>
    <row r="68" ht="27" customHeight="1">
      <c r="A68" s="3"/>
      <c r="B68" s="58" t="str">
        <v>country=Japan</v>
      </c>
      <c r="C68" s="58" t="str">
        <v>2013-2016</v>
      </c>
      <c r="D68" s="58" t="str">
        <v>2023-2025</v>
      </c>
      <c r="E68" s="44" t="n">
        <v>51</v>
      </c>
      <c r="F68" s="44" t="n">
        <v>62</v>
      </c>
      <c r="G68" s="44" t="n">
        <v>25</v>
      </c>
      <c r="H68" s="44" t="n">
        <v>35</v>
      </c>
      <c r="I68" s="62" t="n">
        <v>27</v>
      </c>
      <c r="J68" s="64" t="n">
        <v>15.5</v>
      </c>
      <c r="K68" s="64" t="n">
        <v>46</v>
      </c>
      <c r="L68" s="62" t="n">
        <v>15</v>
      </c>
      <c r="M68" s="64" t="n">
        <v>8</v>
      </c>
      <c r="N68" s="64" t="n">
        <v>26</v>
      </c>
      <c r="O68" s="62" t="n">
        <v>0.5556</v>
      </c>
      <c r="P68" s="64" t="n">
        <v>0.2552</v>
      </c>
      <c r="Q68" s="64" t="n">
        <v>1.2791</v>
      </c>
      <c r="R68" s="80" t="n">
        <v>0.098</v>
      </c>
      <c r="S68" s="82" t="n">
        <v>0.0238</v>
      </c>
      <c r="T68" s="82" t="n">
        <v>0.2222</v>
      </c>
      <c r="U68" s="80" t="n">
        <v>0.0968</v>
      </c>
      <c r="V68" s="82" t="n">
        <v>0</v>
      </c>
      <c r="W68" s="82" t="n">
        <v>0.2078</v>
      </c>
      <c r="X68" s="102" t="n">
        <v>-0.0013</v>
      </c>
      <c r="Y68" s="104" t="n">
        <v>-0.173</v>
      </c>
      <c r="Z68" s="104" t="n">
        <v>0.1183</v>
      </c>
      <c r="AA68" s="58" t="str">
        <v>country</v>
      </c>
      <c r="AB68" s="3"/>
    </row>
    <row r="69" ht="27" customHeight="1">
      <c r="A69" s="3"/>
      <c r="B69" s="59" t="str">
        <v>country=Sweden</v>
      </c>
      <c r="C69" s="59" t="str">
        <v>2013-2016</v>
      </c>
      <c r="D69" s="59" t="str">
        <v>2023-2025</v>
      </c>
      <c r="E69" s="45" t="n">
        <v>48</v>
      </c>
      <c r="F69" s="45" t="n">
        <v>279</v>
      </c>
      <c r="G69" s="45" t="n">
        <v>31</v>
      </c>
      <c r="H69" s="45" t="n">
        <v>135</v>
      </c>
      <c r="I69" s="63" t="n">
        <v>55.5</v>
      </c>
      <c r="J69" s="65" t="n">
        <v>30</v>
      </c>
      <c r="K69" s="65" t="n">
        <v>72</v>
      </c>
      <c r="L69" s="63" t="n">
        <v>24</v>
      </c>
      <c r="M69" s="65" t="n">
        <v>20</v>
      </c>
      <c r="N69" s="65" t="n">
        <v>31</v>
      </c>
      <c r="O69" s="63" t="n">
        <v>0.4324</v>
      </c>
      <c r="P69" s="65" t="n">
        <v>0.2917</v>
      </c>
      <c r="Q69" s="65" t="n">
        <v>0.7693</v>
      </c>
      <c r="R69" s="81" t="n">
        <v>0.3125</v>
      </c>
      <c r="S69" s="83" t="n">
        <v>0.1429</v>
      </c>
      <c r="T69" s="83" t="n">
        <v>0.4407</v>
      </c>
      <c r="U69" s="81" t="n">
        <v>0.1971</v>
      </c>
      <c r="V69" s="83" t="n">
        <v>0.1435</v>
      </c>
      <c r="W69" s="83" t="n">
        <v>0.2516</v>
      </c>
      <c r="X69" s="103" t="n">
        <v>-0.1154</v>
      </c>
      <c r="Y69" s="105" t="n">
        <v>-0.2495</v>
      </c>
      <c r="Z69" s="105" t="n">
        <v>0.0514</v>
      </c>
      <c r="AA69" s="59" t="str">
        <v>country</v>
      </c>
      <c r="AB69" s="3"/>
    </row>
    <row r="70" ht="27" customHeight="1">
      <c r="A70" s="3"/>
      <c r="B70" s="58" t="str">
        <v>country=Belgium</v>
      </c>
      <c r="C70" s="58" t="str">
        <v>2013-2016</v>
      </c>
      <c r="D70" s="58" t="str">
        <v>2023-2025</v>
      </c>
      <c r="E70" s="44" t="n">
        <v>33</v>
      </c>
      <c r="F70" s="44" t="n">
        <v>153</v>
      </c>
      <c r="G70" s="44" t="n">
        <v>20</v>
      </c>
      <c r="H70" s="44" t="n">
        <v>79</v>
      </c>
      <c r="I70" s="62" t="n">
        <v>75</v>
      </c>
      <c r="J70" s="64" t="n">
        <v>37.475</v>
      </c>
      <c r="K70" s="64" t="n">
        <v>116.4375</v>
      </c>
      <c r="L70" s="62" t="n">
        <v>20</v>
      </c>
      <c r="M70" s="64" t="n">
        <v>14</v>
      </c>
      <c r="N70" s="64" t="n">
        <v>24.2625</v>
      </c>
      <c r="O70" s="62" t="n">
        <v>0.2667</v>
      </c>
      <c r="P70" s="64" t="n">
        <v>0.1553</v>
      </c>
      <c r="Q70" s="64" t="n">
        <v>0.6125</v>
      </c>
      <c r="R70" s="80" t="n">
        <v>0.3333</v>
      </c>
      <c r="S70" s="82" t="n">
        <v>0.1472</v>
      </c>
      <c r="T70" s="82" t="n">
        <v>0.5647</v>
      </c>
      <c r="U70" s="80" t="n">
        <v>0.0784</v>
      </c>
      <c r="V70" s="82" t="n">
        <v>0.034</v>
      </c>
      <c r="W70" s="82" t="n">
        <v>0.1246</v>
      </c>
      <c r="X70" s="102" t="n">
        <v>-0.2549</v>
      </c>
      <c r="Y70" s="104" t="n">
        <v>-0.4988</v>
      </c>
      <c r="Z70" s="104" t="n">
        <v>-0.0705</v>
      </c>
      <c r="AA70" s="58" t="str">
        <v>country</v>
      </c>
      <c r="AB70" s="3"/>
    </row>
    <row r="71" ht="27" customHeight="1">
      <c r="A71" s="3"/>
      <c r="B71" s="59" t="str">
        <v>country=Norway</v>
      </c>
      <c r="C71" s="59" t="str">
        <v>2013-2016</v>
      </c>
      <c r="D71" s="59" t="str">
        <v>2023-2025</v>
      </c>
      <c r="E71" s="45" t="n">
        <v>33</v>
      </c>
      <c r="F71" s="45" t="n">
        <v>117</v>
      </c>
      <c r="G71" s="45" t="n">
        <v>14</v>
      </c>
      <c r="H71" s="45" t="n">
        <v>52</v>
      </c>
      <c r="I71" s="63" t="n">
        <v>37</v>
      </c>
      <c r="J71" s="65" t="n">
        <v>24</v>
      </c>
      <c r="K71" s="65" t="n">
        <v>81</v>
      </c>
      <c r="L71" s="63" t="n">
        <v>12</v>
      </c>
      <c r="M71" s="65" t="n">
        <v>6</v>
      </c>
      <c r="N71" s="65" t="n">
        <v>18</v>
      </c>
      <c r="O71" s="63" t="n">
        <v>0.3243</v>
      </c>
      <c r="P71" s="65" t="n">
        <v>0.1348</v>
      </c>
      <c r="Q71" s="65" t="n">
        <v>0.6667</v>
      </c>
      <c r="R71" s="81" t="n">
        <v>0.1818</v>
      </c>
      <c r="S71" s="83" t="n">
        <v>0.0206</v>
      </c>
      <c r="T71" s="83" t="n">
        <v>0.4211</v>
      </c>
      <c r="U71" s="81" t="n">
        <v>0.0513</v>
      </c>
      <c r="V71" s="83" t="n">
        <v>0.0095</v>
      </c>
      <c r="W71" s="83" t="n">
        <v>0.117</v>
      </c>
      <c r="X71" s="103" t="n">
        <v>-0.1305</v>
      </c>
      <c r="Y71" s="105" t="n">
        <v>-0.3574</v>
      </c>
      <c r="Z71" s="105" t="n">
        <v>0.0265</v>
      </c>
      <c r="AA71" s="59" t="str">
        <v>country</v>
      </c>
      <c r="AB71" s="3"/>
    </row>
    <row r="72" ht="27" customHeight="1">
      <c r="A72" s="3"/>
      <c r="B72" s="58" t="str">
        <v>excluding China</v>
      </c>
      <c r="C72" s="58" t="str">
        <v>2013-2016</v>
      </c>
      <c r="D72" s="58" t="str">
        <v>2023-2025</v>
      </c>
      <c r="E72" s="44" t="n">
        <v>2393</v>
      </c>
      <c r="F72" s="44" t="n">
        <v>13691</v>
      </c>
      <c r="G72" s="44" t="n">
        <v>1254</v>
      </c>
      <c r="H72" s="44" t="n">
        <v>6276</v>
      </c>
      <c r="I72" s="62" t="n">
        <v>30</v>
      </c>
      <c r="J72" s="64" t="n">
        <v>27</v>
      </c>
      <c r="K72" s="64" t="n">
        <v>36</v>
      </c>
      <c r="L72" s="62" t="n">
        <v>18</v>
      </c>
      <c r="M72" s="64" t="n">
        <v>18</v>
      </c>
      <c r="N72" s="64" t="n">
        <v>18</v>
      </c>
      <c r="O72" s="62" t="n">
        <v>0.6</v>
      </c>
      <c r="P72" s="64" t="n">
        <v>0.5</v>
      </c>
      <c r="Q72" s="64" t="n">
        <v>0.6667</v>
      </c>
      <c r="R72" s="80" t="n">
        <v>0.2043</v>
      </c>
      <c r="S72" s="82" t="n">
        <v>0.1794</v>
      </c>
      <c r="T72" s="82" t="n">
        <v>0.2343</v>
      </c>
      <c r="U72" s="80" t="n">
        <v>0.0974</v>
      </c>
      <c r="V72" s="82" t="n">
        <v>0.0904</v>
      </c>
      <c r="W72" s="82" t="n">
        <v>0.105</v>
      </c>
      <c r="X72" s="102" t="n">
        <v>-0.107</v>
      </c>
      <c r="Y72" s="104" t="n">
        <v>-0.1357</v>
      </c>
      <c r="Z72" s="104" t="n">
        <v>-0.0809</v>
      </c>
      <c r="AA72" s="58" t="str">
        <v>geography</v>
      </c>
      <c r="AB72" s="3"/>
    </row>
    <row r="73" ht="39" customHeight="1">
      <c r="A73" s="3"/>
      <c r="B73" s="59" t="str">
        <v>excluding countries with &lt;20 datasets in 2013-16</v>
      </c>
      <c r="C73" s="59" t="str">
        <v>2013-2016</v>
      </c>
      <c r="D73" s="59" t="str">
        <v>2023-2025</v>
      </c>
      <c r="E73" s="45" t="n">
        <v>2332</v>
      </c>
      <c r="F73" s="45" t="n">
        <v>13589</v>
      </c>
      <c r="G73" s="45" t="n">
        <v>1218</v>
      </c>
      <c r="H73" s="45" t="n">
        <v>6491</v>
      </c>
      <c r="I73" s="63" t="n">
        <v>30</v>
      </c>
      <c r="J73" s="65" t="n">
        <v>27</v>
      </c>
      <c r="K73" s="65" t="n">
        <v>36</v>
      </c>
      <c r="L73" s="63" t="n">
        <v>16</v>
      </c>
      <c r="M73" s="65" t="n">
        <v>16</v>
      </c>
      <c r="N73" s="65" t="n">
        <v>18</v>
      </c>
      <c r="O73" s="63" t="n">
        <v>0.5333</v>
      </c>
      <c r="P73" s="65" t="n">
        <v>0.4474</v>
      </c>
      <c r="Q73" s="65" t="n">
        <v>0.602</v>
      </c>
      <c r="R73" s="81" t="n">
        <v>0.2011</v>
      </c>
      <c r="S73" s="83" t="n">
        <v>0.1737</v>
      </c>
      <c r="T73" s="83" t="n">
        <v>0.2296</v>
      </c>
      <c r="U73" s="81" t="n">
        <v>0.0919</v>
      </c>
      <c r="V73" s="83" t="n">
        <v>0.0851</v>
      </c>
      <c r="W73" s="83" t="n">
        <v>0.0989</v>
      </c>
      <c r="X73" s="103" t="n">
        <v>-0.1092</v>
      </c>
      <c r="Y73" s="105" t="n">
        <v>-0.137</v>
      </c>
      <c r="Z73" s="105" t="n">
        <v>-0.0818</v>
      </c>
      <c r="AA73" s="59" t="str">
        <v>geography</v>
      </c>
      <c r="AB73" s="3"/>
    </row>
    <row r="74" ht="27" customHeight="1">
      <c r="A74" s="3"/>
      <c r="B74" s="58" t="str">
        <v>country resolved only</v>
      </c>
      <c r="C74" s="58" t="str">
        <v>2013-2016</v>
      </c>
      <c r="D74" s="58" t="str">
        <v>2023-2025</v>
      </c>
      <c r="E74" s="44" t="n">
        <v>1952</v>
      </c>
      <c r="F74" s="44" t="n">
        <v>11849</v>
      </c>
      <c r="G74" s="44" t="n">
        <v>994</v>
      </c>
      <c r="H74" s="44" t="n">
        <v>5542</v>
      </c>
      <c r="I74" s="62" t="n">
        <v>30</v>
      </c>
      <c r="J74" s="64" t="n">
        <v>26</v>
      </c>
      <c r="K74" s="64" t="n">
        <v>35</v>
      </c>
      <c r="L74" s="62" t="n">
        <v>16</v>
      </c>
      <c r="M74" s="64" t="n">
        <v>16</v>
      </c>
      <c r="N74" s="64" t="n">
        <v>18</v>
      </c>
      <c r="O74" s="62" t="n">
        <v>0.5333</v>
      </c>
      <c r="P74" s="64" t="n">
        <v>0.4706</v>
      </c>
      <c r="Q74" s="64" t="n">
        <v>0.6667</v>
      </c>
      <c r="R74" s="80" t="n">
        <v>0.1942</v>
      </c>
      <c r="S74" s="82" t="n">
        <v>0.1669</v>
      </c>
      <c r="T74" s="82" t="n">
        <v>0.2254</v>
      </c>
      <c r="U74" s="80" t="n">
        <v>0.0928</v>
      </c>
      <c r="V74" s="82" t="n">
        <v>0.0849</v>
      </c>
      <c r="W74" s="82" t="n">
        <v>0.1004</v>
      </c>
      <c r="X74" s="102" t="n">
        <v>-0.1014</v>
      </c>
      <c r="Y74" s="104" t="n">
        <v>-0.135</v>
      </c>
      <c r="Z74" s="104" t="n">
        <v>-0.0736</v>
      </c>
      <c r="AA74" s="58" t="str">
        <v>geography</v>
      </c>
      <c r="AB74" s="3"/>
    </row>
    <row r="75" ht="39" customHeight="1">
      <c r="A75" s="3"/>
      <c r="B75" s="59" t="str">
        <v>groups present in 2015-18 and 2022-25 (H1.3 set)</v>
      </c>
      <c r="C75" s="59" t="str">
        <v>2015-2018</v>
      </c>
      <c r="D75" s="59" t="str">
        <v>2022-2025</v>
      </c>
      <c r="E75" s="45" t="n">
        <v>2832</v>
      </c>
      <c r="F75" s="45" t="n">
        <v>5535</v>
      </c>
      <c r="G75" s="45" t="n">
        <v>864</v>
      </c>
      <c r="H75" s="45" t="n">
        <v>864</v>
      </c>
      <c r="I75" s="63" t="n">
        <v>27</v>
      </c>
      <c r="J75" s="65" t="n">
        <v>24</v>
      </c>
      <c r="K75" s="65" t="n">
        <v>30</v>
      </c>
      <c r="L75" s="63" t="n">
        <v>24</v>
      </c>
      <c r="M75" s="65" t="n">
        <v>23</v>
      </c>
      <c r="N75" s="65" t="n">
        <v>24</v>
      </c>
      <c r="O75" s="63" t="n">
        <v>0.8889</v>
      </c>
      <c r="P75" s="65" t="n">
        <v>0.8</v>
      </c>
      <c r="Q75" s="65" t="n">
        <v>1</v>
      </c>
      <c r="R75" s="81" t="n">
        <v>0.1744</v>
      </c>
      <c r="S75" s="83" t="n">
        <v>0.1503</v>
      </c>
      <c r="T75" s="83" t="n">
        <v>0.1987</v>
      </c>
      <c r="U75" s="81" t="n">
        <v>0.1322</v>
      </c>
      <c r="V75" s="83" t="n">
        <v>0.1162</v>
      </c>
      <c r="W75" s="83" t="n">
        <v>0.1498</v>
      </c>
      <c r="X75" s="103" t="n">
        <v>-0.0422</v>
      </c>
      <c r="Y75" s="105" t="n">
        <v>-0.068</v>
      </c>
      <c r="Z75" s="105" t="n">
        <v>-0.0185</v>
      </c>
      <c r="AA75" s="59" t="str">
        <v>turnover</v>
      </c>
      <c r="AB75" s="3"/>
    </row>
    <row r="76" ht="27" customHeight="1">
      <c r="A76" s="3"/>
      <c r="B76" s="58" t="str">
        <v>all datasets, H1.3 windows</v>
      </c>
      <c r="C76" s="58" t="str">
        <v>2015-2018</v>
      </c>
      <c r="D76" s="58" t="str">
        <v>2022-2025</v>
      </c>
      <c r="E76" s="44" t="n">
        <v>5199</v>
      </c>
      <c r="F76" s="44" t="n">
        <v>20046</v>
      </c>
      <c r="G76" s="44" t="n">
        <v>2457</v>
      </c>
      <c r="H76" s="44" t="n">
        <v>9076</v>
      </c>
      <c r="I76" s="62" t="n">
        <v>24</v>
      </c>
      <c r="J76" s="64" t="n">
        <v>24</v>
      </c>
      <c r="K76" s="64" t="n">
        <v>26</v>
      </c>
      <c r="L76" s="62" t="n">
        <v>16.5</v>
      </c>
      <c r="M76" s="64" t="n">
        <v>16</v>
      </c>
      <c r="N76" s="64" t="n">
        <v>18</v>
      </c>
      <c r="O76" s="62" t="n">
        <v>0.6875</v>
      </c>
      <c r="P76" s="64" t="n">
        <v>0.64</v>
      </c>
      <c r="Q76" s="64" t="n">
        <v>0.75</v>
      </c>
      <c r="R76" s="80" t="n">
        <v>0.1556</v>
      </c>
      <c r="S76" s="82" t="n">
        <v>0.1387</v>
      </c>
      <c r="T76" s="82" t="n">
        <v>0.1712</v>
      </c>
      <c r="U76" s="80" t="n">
        <v>0.0897</v>
      </c>
      <c r="V76" s="82" t="n">
        <v>0.0834</v>
      </c>
      <c r="W76" s="82" t="n">
        <v>0.0969</v>
      </c>
      <c r="X76" s="102" t="n">
        <v>-0.0659</v>
      </c>
      <c r="Y76" s="104" t="n">
        <v>-0.0823</v>
      </c>
      <c r="Z76" s="104" t="n">
        <v>-0.049</v>
      </c>
      <c r="AA76" s="58" t="str">
        <v>turnover</v>
      </c>
      <c r="AB76" s="3"/>
    </row>
    <row r="77" ht="39" customHeight="1">
      <c r="A77" s="3"/>
      <c r="B77" s="59" t="str">
        <v>returning-group datasets only (not group first year)</v>
      </c>
      <c r="C77" s="59" t="str">
        <v>2013-2016</v>
      </c>
      <c r="D77" s="59" t="str">
        <v>2023-2025</v>
      </c>
      <c r="E77" s="45" t="n">
        <v>736</v>
      </c>
      <c r="F77" s="45" t="n">
        <v>8629</v>
      </c>
      <c r="G77" s="45" t="n">
        <v>263</v>
      </c>
      <c r="H77" s="45" t="n">
        <v>2443</v>
      </c>
      <c r="I77" s="63" t="n">
        <v>36</v>
      </c>
      <c r="J77" s="65" t="n">
        <v>28.9875</v>
      </c>
      <c r="K77" s="65" t="n">
        <v>47</v>
      </c>
      <c r="L77" s="63" t="n">
        <v>21</v>
      </c>
      <c r="M77" s="65" t="n">
        <v>20</v>
      </c>
      <c r="N77" s="65" t="n">
        <v>22</v>
      </c>
      <c r="O77" s="63" t="n">
        <v>0.5833</v>
      </c>
      <c r="P77" s="65" t="n">
        <v>0.4375</v>
      </c>
      <c r="Q77" s="65" t="n">
        <v>0.7334</v>
      </c>
      <c r="R77" s="81" t="n">
        <v>0.2296</v>
      </c>
      <c r="S77" s="83" t="n">
        <v>0.1722</v>
      </c>
      <c r="T77" s="83" t="n">
        <v>0.2893</v>
      </c>
      <c r="U77" s="81" t="n">
        <v>0.1145</v>
      </c>
      <c r="V77" s="83" t="n">
        <v>0.1042</v>
      </c>
      <c r="W77" s="83" t="n">
        <v>0.1255</v>
      </c>
      <c r="X77" s="103" t="n">
        <v>-0.1151</v>
      </c>
      <c r="Y77" s="105" t="n">
        <v>-0.1753</v>
      </c>
      <c r="Z77" s="105" t="n">
        <v>-0.0584</v>
      </c>
      <c r="AA77" s="59" t="str">
        <v>turnover</v>
      </c>
      <c r="AB77" s="3"/>
    </row>
    <row r="78" ht="27" customHeight="1">
      <c r="A78" s="3"/>
      <c r="B78" s="76" t="str">
        <v>group first-year datasets only</v>
      </c>
      <c r="C78" s="76" t="str">
        <v>2013-2016</v>
      </c>
      <c r="D78" s="76" t="str">
        <v>2023-2025</v>
      </c>
      <c r="E78" s="51" t="n">
        <v>1762</v>
      </c>
      <c r="F78" s="51" t="n">
        <v>6614</v>
      </c>
      <c r="G78" s="51" t="n">
        <v>1309</v>
      </c>
      <c r="H78" s="51" t="n">
        <v>5374</v>
      </c>
      <c r="I78" s="86" t="n">
        <v>27</v>
      </c>
      <c r="J78" s="87" t="n">
        <v>24</v>
      </c>
      <c r="K78" s="87" t="n">
        <v>30</v>
      </c>
      <c r="L78" s="86" t="n">
        <v>12</v>
      </c>
      <c r="M78" s="87" t="n">
        <v>12</v>
      </c>
      <c r="N78" s="87" t="n">
        <v>12</v>
      </c>
      <c r="O78" s="86" t="n">
        <v>0.4444</v>
      </c>
      <c r="P78" s="87" t="n">
        <v>0.4</v>
      </c>
      <c r="Q78" s="87" t="n">
        <v>0.5</v>
      </c>
      <c r="R78" s="88" t="n">
        <v>0.185</v>
      </c>
      <c r="S78" s="89" t="n">
        <v>0.1642</v>
      </c>
      <c r="T78" s="89" t="n">
        <v>0.2099</v>
      </c>
      <c r="U78" s="88" t="n">
        <v>0.0587</v>
      </c>
      <c r="V78" s="89" t="n">
        <v>0.0527</v>
      </c>
      <c r="W78" s="89" t="n">
        <v>0.0651</v>
      </c>
      <c r="X78" s="106" t="n">
        <v>-0.1264</v>
      </c>
      <c r="Y78" s="107" t="n">
        <v>-0.1529</v>
      </c>
      <c r="Z78" s="107" t="n">
        <v>-0.103</v>
      </c>
      <c r="AA78" s="76" t="str">
        <v>turnover</v>
      </c>
      <c r="AB78" s="3"/>
    </row>
    <row r="79" ht="23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3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3" customHeight="1">
      <c r="A81" s="3"/>
      <c r="B81" s="53" t="str">
        <v>Table scope</v>
      </c>
      <c r="C81" s="5"/>
      <c r="D81" s="5"/>
      <c r="E81" s="5"/>
      <c r="F81" s="5"/>
      <c r="G81" s="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7" customHeight="1">
      <c r="A82" s="3"/>
      <c r="B82" s="12" t="str">
        <v>Raw runs per dataset, 2013–16 vs 2023–25, under alternative definitions (Fig. 2c)</v>
      </c>
      <c r="C82" s="12"/>
      <c r="D82" s="12"/>
      <c r="E82" s="12"/>
      <c r="F82" s="12"/>
      <c r="G82" s="1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3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3" customHeight="1">
      <c r="A84" s="3"/>
      <c r="B84" s="53" t="str">
        <v>Definition</v>
      </c>
      <c r="C84" s="5"/>
      <c r="D84" s="5"/>
      <c r="E84" s="5"/>
      <c r="F84" s="5"/>
      <c r="G84" s="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7" customHeight="1">
      <c r="A85" s="3"/>
      <c r="B85" s="12" t="str">
        <v>Median ratio and change in the share with ≥100 runs, with 95% group-bootstrap intervals.</v>
      </c>
      <c r="C85" s="12"/>
      <c r="D85" s="12"/>
      <c r="E85" s="12"/>
      <c r="F85" s="12"/>
      <c r="G85" s="1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3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3" customHeight="1">
      <c r="A87" s="3"/>
      <c r="B87" s="53" t="str">
        <v>Source</v>
      </c>
      <c r="C87" s="5"/>
      <c r="D87" s="5"/>
      <c r="E87" s="5"/>
      <c r="F87" s="5"/>
      <c r="G87" s="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7" customHeight="1">
      <c r="A88" s="3"/>
      <c r="B88" s="12" t="str">
        <v>Attacks/runs/Contrasts-2013-16-vs-2023-25.csv</v>
      </c>
      <c r="C88" s="12"/>
      <c r="D88" s="12"/>
      <c r="E88" s="12"/>
      <c r="F88" s="12"/>
      <c r="G88" s="1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3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3" customHeight="1">
      <c r="A90" s="3"/>
      <c r="B90" s="53" t="str">
        <v>Original column names</v>
      </c>
      <c r="C90" s="5"/>
      <c r="D90" s="5"/>
      <c r="E90" s="5"/>
      <c r="F90" s="5"/>
      <c r="G90" s="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57" customHeight="1">
      <c r="A91" s="3"/>
      <c r="B91" s="12" t="str">
        <v>label, early, late, n_early, n_late, groups_early, groups_late, median_early, median_early_lo, median_early_hi, median_late, median_late_lo, median_late_hi, median_ratio, median_ratio_lo, median_ratio_hi, ge100_early, ge100_early_lo, ge100_early_hi, ge100_late, ge100_late_lo, ge100_late_hi, ge100_diff, ge100_diff_lo, ge100_diff_hi, factor</v>
      </c>
      <c r="C91" s="12"/>
      <c r="D91" s="12"/>
      <c r="E91" s="12"/>
      <c r="F91" s="12"/>
      <c r="G91" s="1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3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3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3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3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3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3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3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3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3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3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3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3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</sheetData>
  <mergeCells>
    <mergeCell ref="B2:G2"/>
    <mergeCell ref="B3:G3"/>
    <mergeCell ref="B4:G4"/>
    <mergeCell ref="B81:G81"/>
    <mergeCell ref="B82:G82"/>
    <mergeCell ref="B84:G84"/>
    <mergeCell ref="B85:G85"/>
    <mergeCell ref="B87:G87"/>
    <mergeCell ref="B88:G88"/>
    <mergeCell ref="B90:G90"/>
    <mergeCell ref="B91:G91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8" orientation="landscape" scale="90" useFirstPageNumber="0"/>
  <headerFooter>
    <oddFooter>&amp;LPRIDE supplementary tables&amp;CS8&amp;RPage &amp;P of &amp;N</oddFooter>
  </headerFooter>
  <tableParts count="1">
    <tablePart ns1:id="R015281d9c4794d98"/>
  </tableParts>
</worksheet>
</file>

<file path=xl/worksheets/sheet10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24" hidden="0" customWidth="1"/>
    <col min="3" max="3" width="24" hidden="0" customWidth="1"/>
    <col min="4" max="4" width="14" hidden="0" customWidth="1"/>
    <col min="5" max="5" width="14" hidden="0" customWidth="1"/>
    <col min="6" max="6" width="14" hidden="0" customWidth="1"/>
  </cols>
  <sheetData>
    <row r="1" ht="12" customHeight="1">
      <c r="A1" s="3"/>
      <c r="B1" s="3"/>
      <c r="C1" s="3"/>
      <c r="D1" s="3"/>
      <c r="E1" s="3"/>
      <c r="F1" s="3"/>
      <c r="G1" s="3"/>
    </row>
    <row r="2" ht="23" customHeight="1">
      <c r="A2" s="3"/>
      <c r="B2" s="5" t="str">
        <v>SUPPLEMENTARY TABLE S9</v>
      </c>
      <c r="C2" s="5"/>
      <c r="D2" s="5"/>
      <c r="E2" s="5"/>
      <c r="F2" s="3"/>
      <c r="G2" s="3"/>
    </row>
    <row r="3" ht="30" customHeight="1">
      <c r="A3" s="3"/>
      <c r="B3" s="7" t="str">
        <v>Standard results by analysis tool</v>
      </c>
      <c r="C3" s="7"/>
      <c r="D3" s="7"/>
      <c r="E3" s="7"/>
      <c r="F3" s="3"/>
      <c r="G3" s="3"/>
    </row>
    <row r="4" ht="29" customHeight="1">
      <c r="A4" s="3"/>
      <c r="B4" s="12" t="str">
        <v>Single-tool datasets. Standard files are submitter-deposited mzIdentML or mzTab.</v>
      </c>
      <c r="C4" s="12"/>
      <c r="D4" s="12"/>
      <c r="E4" s="12"/>
      <c r="F4" s="3"/>
      <c r="G4" s="3"/>
    </row>
    <row r="5" ht="23" customHeight="1">
      <c r="A5" s="3"/>
      <c r="B5" s="28"/>
      <c r="C5" s="28"/>
      <c r="D5" s="28"/>
      <c r="E5" s="28"/>
      <c r="F5" s="3"/>
      <c r="G5" s="3"/>
    </row>
    <row r="6" ht="23" customHeight="1">
      <c r="A6" s="3"/>
      <c r="B6" s="4" t="str">
        <v>Contents</v>
      </c>
      <c r="C6" s="3"/>
      <c r="D6" s="3"/>
      <c r="E6" s="3"/>
      <c r="F6" s="3"/>
      <c r="G6" s="3"/>
    </row>
    <row r="7" ht="54" customHeight="1">
      <c r="A7" s="3"/>
      <c r="B7" s="35" t="str">
        <v>Export capability</v>
      </c>
      <c r="C7" s="36" t="str">
        <v>Tool</v>
      </c>
      <c r="D7" s="36" t="str">
        <v>Datasets</v>
      </c>
      <c r="E7" s="36" t="str">
        <v>Standard results (%)</v>
      </c>
      <c r="F7" s="37" t="str">
        <v>Native results visible (%)</v>
      </c>
      <c r="G7" s="3"/>
    </row>
    <row r="8" ht="27" customHeight="1">
      <c r="A8" s="3"/>
      <c r="B8" s="58" t="str">
        <v>built-in</v>
      </c>
      <c r="C8" s="58" t="str">
        <v>Byonic</v>
      </c>
      <c r="D8" s="44" t="n">
        <v>203</v>
      </c>
      <c r="E8" s="48" t="n">
        <v>28.6</v>
      </c>
      <c r="F8" s="48" t="n">
        <v>50.2</v>
      </c>
      <c r="G8" s="3"/>
    </row>
    <row r="9" ht="27" customHeight="1">
      <c r="A9" s="3"/>
      <c r="B9" s="59" t="str">
        <v>built-in</v>
      </c>
      <c r="C9" s="59" t="str">
        <v>Comet</v>
      </c>
      <c r="D9" s="45" t="n">
        <v>236</v>
      </c>
      <c r="E9" s="49" t="n">
        <v>50</v>
      </c>
      <c r="F9" s="49" t="n">
        <v>19.1</v>
      </c>
      <c r="G9" s="3"/>
    </row>
    <row r="10" ht="27" customHeight="1">
      <c r="A10" s="3"/>
      <c r="B10" s="58" t="str">
        <v>built-in</v>
      </c>
      <c r="C10" s="58" t="str">
        <v>Mascot</v>
      </c>
      <c r="D10" s="44" t="n">
        <v>1520</v>
      </c>
      <c r="E10" s="48" t="n">
        <v>41.4</v>
      </c>
      <c r="F10" s="48" t="n">
        <v>51.3</v>
      </c>
      <c r="G10" s="3"/>
    </row>
    <row r="11" ht="27" customHeight="1">
      <c r="A11" s="3"/>
      <c r="B11" s="59" t="str">
        <v>built-in</v>
      </c>
      <c r="C11" s="59" t="str">
        <v>MaxQuant</v>
      </c>
      <c r="D11" s="45" t="n">
        <v>9265</v>
      </c>
      <c r="E11" s="49" t="n">
        <v>6.9</v>
      </c>
      <c r="F11" s="49" t="n">
        <v>34.7</v>
      </c>
      <c r="G11" s="3"/>
    </row>
    <row r="12" ht="27" customHeight="1">
      <c r="A12" s="3"/>
      <c r="B12" s="58" t="str">
        <v>built-in</v>
      </c>
      <c r="C12" s="58" t="str">
        <v>OpenMS</v>
      </c>
      <c r="D12" s="44" t="n">
        <v>30</v>
      </c>
      <c r="E12" s="48" t="n">
        <v>30</v>
      </c>
      <c r="F12" s="48" t="n">
        <v>56.7</v>
      </c>
      <c r="G12" s="3"/>
    </row>
    <row r="13" ht="27" customHeight="1">
      <c r="A13" s="3"/>
      <c r="B13" s="59" t="str">
        <v>built-in</v>
      </c>
      <c r="C13" s="59" t="str">
        <v>PEAKS</v>
      </c>
      <c r="D13" s="45" t="n">
        <v>482</v>
      </c>
      <c r="E13" s="49" t="n">
        <v>43.2</v>
      </c>
      <c r="F13" s="49" t="n">
        <v>14.5</v>
      </c>
      <c r="G13" s="3"/>
    </row>
    <row r="14" ht="27" customHeight="1">
      <c r="A14" s="3"/>
      <c r="B14" s="58" t="str">
        <v>built-in</v>
      </c>
      <c r="C14" s="58" t="str">
        <v>PLGS</v>
      </c>
      <c r="D14" s="44" t="n">
        <v>330</v>
      </c>
      <c r="E14" s="48" t="n">
        <v>13</v>
      </c>
      <c r="F14" s="48" t="n">
        <v>47.6</v>
      </c>
      <c r="G14" s="3"/>
    </row>
    <row r="15" ht="27" customHeight="1">
      <c r="A15" s="3"/>
      <c r="B15" s="59" t="str">
        <v>built-in</v>
      </c>
      <c r="C15" s="59" t="str">
        <v>PeptideShaker</v>
      </c>
      <c r="D15" s="45" t="n">
        <v>16</v>
      </c>
      <c r="E15" s="49" t="n">
        <v>37.5</v>
      </c>
      <c r="F15" s="49" t="n">
        <v>12.5</v>
      </c>
      <c r="G15" s="3"/>
    </row>
    <row r="16" ht="27" customHeight="1">
      <c r="A16" s="3"/>
      <c r="B16" s="58" t="str">
        <v>built-in</v>
      </c>
      <c r="C16" s="58" t="str">
        <v>Progenesis</v>
      </c>
      <c r="D16" s="44" t="n">
        <v>164</v>
      </c>
      <c r="E16" s="48" t="n">
        <v>45.1</v>
      </c>
      <c r="F16" s="48" t="n">
        <v>4.9</v>
      </c>
      <c r="G16" s="3"/>
    </row>
    <row r="17" ht="27" customHeight="1">
      <c r="A17" s="3"/>
      <c r="B17" s="59" t="str">
        <v>built-in</v>
      </c>
      <c r="C17" s="59" t="str">
        <v>ProteinPilot</v>
      </c>
      <c r="D17" s="45" t="n">
        <v>495</v>
      </c>
      <c r="E17" s="49" t="n">
        <v>5.3</v>
      </c>
      <c r="F17" s="49" t="n">
        <v>67.7</v>
      </c>
      <c r="G17" s="3"/>
    </row>
    <row r="18" ht="27" customHeight="1">
      <c r="A18" s="3"/>
      <c r="B18" s="58" t="str">
        <v>built-in</v>
      </c>
      <c r="C18" s="58" t="str">
        <v>Proteome Discoverer</v>
      </c>
      <c r="D18" s="44" t="n">
        <v>2659</v>
      </c>
      <c r="E18" s="48" t="n">
        <v>18.7</v>
      </c>
      <c r="F18" s="48" t="n">
        <v>59.4</v>
      </c>
      <c r="G18" s="3"/>
    </row>
    <row r="19" ht="27" customHeight="1">
      <c r="A19" s="3"/>
      <c r="B19" s="59" t="str">
        <v>built-in</v>
      </c>
      <c r="C19" s="59" t="str">
        <v>Scaffold</v>
      </c>
      <c r="D19" s="45" t="n">
        <v>199</v>
      </c>
      <c r="E19" s="49" t="n">
        <v>50.8</v>
      </c>
      <c r="F19" s="49" t="n">
        <v>19.1</v>
      </c>
      <c r="G19" s="3"/>
    </row>
    <row r="20" ht="27" customHeight="1">
      <c r="A20" s="3"/>
      <c r="B20" s="58" t="str">
        <v>built-in</v>
      </c>
      <c r="C20" s="58" t="str">
        <v>TPP</v>
      </c>
      <c r="D20" s="44" t="n">
        <v>30</v>
      </c>
      <c r="E20" s="48" t="n">
        <v>16.7</v>
      </c>
      <c r="F20" s="48" t="n">
        <v>30</v>
      </c>
      <c r="G20" s="3"/>
    </row>
    <row r="21" ht="27" customHeight="1">
      <c r="A21" s="3"/>
      <c r="B21" s="59" t="str">
        <v>built-in</v>
      </c>
      <c r="C21" s="59" t="str">
        <v>X!Tandem</v>
      </c>
      <c r="D21" s="45" t="n">
        <v>78</v>
      </c>
      <c r="E21" s="49" t="n">
        <v>9</v>
      </c>
      <c r="F21" s="49" t="n">
        <v>6.4</v>
      </c>
      <c r="G21" s="3"/>
    </row>
    <row r="22" ht="27" customHeight="1">
      <c r="A22" s="3"/>
      <c r="B22" s="58" t="str">
        <v>native</v>
      </c>
      <c r="C22" s="58" t="str">
        <v>MS-GF+</v>
      </c>
      <c r="D22" s="44" t="n">
        <v>87</v>
      </c>
      <c r="E22" s="48" t="n">
        <v>75.9</v>
      </c>
      <c r="F22" s="48" t="n">
        <v>75.9</v>
      </c>
      <c r="G22" s="3"/>
    </row>
    <row r="23" ht="27" customHeight="1">
      <c r="A23" s="3"/>
      <c r="B23" s="59" t="str">
        <v>native</v>
      </c>
      <c r="C23" s="59" t="str">
        <v>MetaMorpheus</v>
      </c>
      <c r="D23" s="45" t="n">
        <v>57</v>
      </c>
      <c r="E23" s="49" t="n">
        <v>22.8</v>
      </c>
      <c r="F23" s="49" t="n">
        <v>57.9</v>
      </c>
      <c r="G23" s="3"/>
    </row>
    <row r="24" ht="27" customHeight="1">
      <c r="A24" s="3"/>
      <c r="B24" s="58" t="str">
        <v>none</v>
      </c>
      <c r="C24" s="58" t="str">
        <v>DIA-NN</v>
      </c>
      <c r="D24" s="44" t="n">
        <v>906</v>
      </c>
      <c r="E24" s="48" t="n">
        <v>0.2</v>
      </c>
      <c r="F24" s="48" t="n">
        <v>61.3</v>
      </c>
      <c r="G24" s="3"/>
    </row>
    <row r="25" ht="27" customHeight="1">
      <c r="A25" s="3"/>
      <c r="B25" s="59" t="str">
        <v>none</v>
      </c>
      <c r="C25" s="59" t="str">
        <v>FragPipe</v>
      </c>
      <c r="D25" s="45" t="n">
        <v>355</v>
      </c>
      <c r="E25" s="49" t="n">
        <v>0.6</v>
      </c>
      <c r="F25" s="49" t="n">
        <v>55.5</v>
      </c>
      <c r="G25" s="3"/>
    </row>
    <row r="26" ht="27" customHeight="1">
      <c r="A26" s="3"/>
      <c r="B26" s="58" t="str">
        <v>none</v>
      </c>
      <c r="C26" s="58" t="str">
        <v>OpenSWATH</v>
      </c>
      <c r="D26" s="44" t="n">
        <v>29</v>
      </c>
      <c r="E26" s="48" t="n">
        <v>3.4</v>
      </c>
      <c r="F26" s="48" t="n">
        <v>0</v>
      </c>
      <c r="G26" s="3"/>
    </row>
    <row r="27" ht="27" customHeight="1">
      <c r="A27" s="3"/>
      <c r="B27" s="59" t="str">
        <v>none</v>
      </c>
      <c r="C27" s="59" t="str">
        <v>Percolator</v>
      </c>
      <c r="D27" s="45" t="n">
        <v>79</v>
      </c>
      <c r="E27" s="49" t="n">
        <v>27.8</v>
      </c>
      <c r="F27" s="49" t="n">
        <v>0</v>
      </c>
      <c r="G27" s="3"/>
    </row>
    <row r="28" ht="27" customHeight="1">
      <c r="A28" s="3"/>
      <c r="B28" s="58" t="str">
        <v>none</v>
      </c>
      <c r="C28" s="58" t="str">
        <v>Sage</v>
      </c>
      <c r="D28" s="44" t="n">
        <v>5</v>
      </c>
      <c r="E28" s="48" t="n">
        <v>0</v>
      </c>
      <c r="F28" s="48" t="n">
        <v>40</v>
      </c>
      <c r="G28" s="3"/>
    </row>
    <row r="29" ht="27" customHeight="1">
      <c r="A29" s="3"/>
      <c r="B29" s="59" t="str">
        <v>none</v>
      </c>
      <c r="C29" s="59" t="str">
        <v>Skyline</v>
      </c>
      <c r="D29" s="45" t="n">
        <v>205</v>
      </c>
      <c r="E29" s="49" t="n">
        <v>7.3</v>
      </c>
      <c r="F29" s="49" t="n">
        <v>37.6</v>
      </c>
      <c r="G29" s="3"/>
    </row>
    <row r="30" ht="27" customHeight="1">
      <c r="A30" s="3"/>
      <c r="B30" s="58" t="str">
        <v>none</v>
      </c>
      <c r="C30" s="58" t="str">
        <v>pFind</v>
      </c>
      <c r="D30" s="44" t="n">
        <v>98</v>
      </c>
      <c r="E30" s="48" t="n">
        <v>3.1</v>
      </c>
      <c r="F30" s="48" t="n">
        <v>34.7</v>
      </c>
      <c r="G30" s="3"/>
    </row>
    <row r="31" ht="27" customHeight="1">
      <c r="A31" s="3"/>
      <c r="B31" s="59" t="str">
        <v>unknown</v>
      </c>
      <c r="C31" s="59" t="str">
        <v>EncyclopeDIA</v>
      </c>
      <c r="D31" s="45" t="n">
        <v>6</v>
      </c>
      <c r="E31" s="49" t="n">
        <v>0</v>
      </c>
      <c r="F31" s="49" t="n">
        <v>66.7</v>
      </c>
      <c r="G31" s="3"/>
    </row>
    <row r="32" ht="27" customHeight="1">
      <c r="A32" s="3"/>
      <c r="B32" s="76" t="str">
        <v>unknown</v>
      </c>
      <c r="C32" s="76" t="str">
        <v>Spectronaut</v>
      </c>
      <c r="D32" s="51" t="n">
        <v>1006</v>
      </c>
      <c r="E32" s="52" t="n">
        <v>0.4</v>
      </c>
      <c r="F32" s="52" t="n">
        <v>56.8</v>
      </c>
      <c r="G32" s="3"/>
    </row>
    <row r="33" ht="23" customHeight="1">
      <c r="A33" s="3"/>
      <c r="B33" s="3"/>
      <c r="C33" s="3"/>
      <c r="D33" s="3"/>
      <c r="E33" s="3"/>
      <c r="F33" s="3"/>
      <c r="G33" s="3"/>
    </row>
    <row r="34" ht="23" customHeight="1">
      <c r="A34" s="3"/>
      <c r="B34" s="3"/>
      <c r="C34" s="3"/>
      <c r="D34" s="3"/>
      <c r="E34" s="3"/>
      <c r="F34" s="3"/>
      <c r="G34" s="3"/>
    </row>
    <row r="35" ht="23" customHeight="1">
      <c r="A35" s="3"/>
      <c r="B35" s="53" t="str">
        <v>Table scope</v>
      </c>
      <c r="C35" s="5"/>
      <c r="D35" s="5"/>
      <c r="E35" s="5"/>
      <c r="F35" s="3"/>
      <c r="G35" s="3"/>
    </row>
    <row r="36" ht="27" customHeight="1">
      <c r="A36" s="3"/>
      <c r="B36" s="12" t="str">
        <v>Standard result files by analysis tool and export capability (Fig. 4a–b)</v>
      </c>
      <c r="C36" s="12"/>
      <c r="D36" s="12"/>
      <c r="E36" s="12"/>
      <c r="F36" s="3"/>
      <c r="G36" s="3"/>
    </row>
    <row r="37" ht="23" customHeight="1">
      <c r="A37" s="3"/>
      <c r="B37" s="3"/>
      <c r="C37" s="3"/>
      <c r="D37" s="3"/>
      <c r="E37" s="3"/>
      <c r="F37" s="3"/>
      <c r="G37" s="3"/>
    </row>
    <row r="38" ht="23" customHeight="1">
      <c r="A38" s="3"/>
      <c r="B38" s="53" t="str">
        <v>Definition</v>
      </c>
      <c r="C38" s="5"/>
      <c r="D38" s="5"/>
      <c r="E38" s="5"/>
      <c r="F38" s="3"/>
      <c r="G38" s="3"/>
    </row>
    <row r="39" ht="57" customHeight="1">
      <c r="A39" s="3"/>
      <c r="B39" s="12" t="str">
        <v>Single-tool datasets. Export capability from the software registry (Software-registry.md): default = tool writes mzIdentML/mzTab by default; built-in = option; none = cannot.</v>
      </c>
      <c r="C39" s="12"/>
      <c r="D39" s="12"/>
      <c r="E39" s="12"/>
      <c r="F39" s="3"/>
      <c r="G39" s="3"/>
    </row>
    <row r="40" ht="23" customHeight="1">
      <c r="A40" s="3"/>
      <c r="B40" s="3"/>
      <c r="C40" s="3"/>
      <c r="D40" s="3"/>
      <c r="E40" s="3"/>
      <c r="F40" s="3"/>
      <c r="G40" s="3"/>
    </row>
    <row r="41" ht="23" customHeight="1">
      <c r="A41" s="3"/>
      <c r="B41" s="53" t="str">
        <v>Source</v>
      </c>
      <c r="C41" s="5"/>
      <c r="D41" s="5"/>
      <c r="E41" s="5"/>
      <c r="F41" s="3"/>
      <c r="G41" s="3"/>
    </row>
    <row r="42" ht="27" customHeight="1">
      <c r="A42" s="3"/>
      <c r="B42" s="12" t="str">
        <v>Tool-outputs/*.csv; Software-registry.md</v>
      </c>
      <c r="C42" s="12"/>
      <c r="D42" s="12"/>
      <c r="E42" s="12"/>
      <c r="F42" s="3"/>
      <c r="G42" s="3"/>
    </row>
    <row r="43" ht="23" customHeight="1">
      <c r="A43" s="3"/>
      <c r="B43" s="3"/>
      <c r="C43" s="3"/>
      <c r="D43" s="3"/>
      <c r="E43" s="3"/>
      <c r="F43" s="3"/>
      <c r="G43" s="3"/>
    </row>
    <row r="44" ht="23" customHeight="1">
      <c r="A44" s="3"/>
      <c r="B44" s="53" t="str">
        <v>Original column names</v>
      </c>
      <c r="C44" s="5"/>
      <c r="D44" s="5"/>
      <c r="E44" s="5"/>
      <c r="F44" s="3"/>
      <c r="G44" s="3"/>
    </row>
    <row r="45" ht="27" customHeight="1">
      <c r="A45" s="3"/>
      <c r="B45" s="12" t="str">
        <v>export, tool, datasets, standard_pct, native_visible_pct</v>
      </c>
      <c r="C45" s="12"/>
      <c r="D45" s="12"/>
      <c r="E45" s="12"/>
      <c r="F45" s="3"/>
      <c r="G45" s="3"/>
    </row>
    <row r="46" ht="23" customHeight="1">
      <c r="A46" s="3"/>
      <c r="B46" s="3"/>
      <c r="C46" s="3"/>
      <c r="D46" s="3"/>
      <c r="E46" s="3"/>
      <c r="F46" s="3"/>
      <c r="G46" s="3"/>
    </row>
    <row r="47" ht="23" customHeight="1">
      <c r="A47" s="3"/>
      <c r="B47" s="3"/>
      <c r="C47" s="3"/>
      <c r="D47" s="3"/>
      <c r="E47" s="3"/>
      <c r="F47" s="3"/>
      <c r="G47" s="3"/>
    </row>
    <row r="48" ht="23" customHeight="1">
      <c r="A48" s="3"/>
      <c r="B48" s="3"/>
      <c r="C48" s="3"/>
      <c r="D48" s="3"/>
      <c r="E48" s="3"/>
      <c r="F48" s="3"/>
      <c r="G48" s="3"/>
    </row>
    <row r="49" ht="23" customHeight="1">
      <c r="A49" s="3"/>
      <c r="B49" s="3"/>
      <c r="C49" s="3"/>
      <c r="D49" s="3"/>
      <c r="E49" s="3"/>
      <c r="F49" s="3"/>
      <c r="G49" s="3"/>
    </row>
    <row r="50" ht="23" customHeight="1">
      <c r="A50" s="3"/>
      <c r="B50" s="3"/>
      <c r="C50" s="3"/>
      <c r="D50" s="3"/>
      <c r="E50" s="3"/>
      <c r="F50" s="3"/>
      <c r="G50" s="3"/>
    </row>
    <row r="51" ht="23" customHeight="1">
      <c r="A51" s="3"/>
      <c r="B51" s="3"/>
      <c r="C51" s="3"/>
      <c r="D51" s="3"/>
      <c r="E51" s="3"/>
      <c r="F51" s="3"/>
      <c r="G51" s="3"/>
    </row>
    <row r="52" ht="23" customHeight="1">
      <c r="A52" s="3"/>
      <c r="B52" s="3"/>
      <c r="C52" s="3"/>
      <c r="D52" s="3"/>
      <c r="E52" s="3"/>
      <c r="F52" s="3"/>
      <c r="G52" s="3"/>
    </row>
    <row r="53" ht="23" customHeight="1">
      <c r="A53" s="3"/>
      <c r="B53" s="3"/>
      <c r="C53" s="3"/>
      <c r="D53" s="3"/>
      <c r="E53" s="3"/>
      <c r="F53" s="3"/>
      <c r="G53" s="3"/>
    </row>
    <row r="54" ht="23" customHeight="1">
      <c r="A54" s="3"/>
      <c r="B54" s="3"/>
      <c r="C54" s="3"/>
      <c r="D54" s="3"/>
      <c r="E54" s="3"/>
      <c r="F54" s="3"/>
      <c r="G54" s="3"/>
    </row>
    <row r="55" ht="23" customHeight="1">
      <c r="A55" s="3"/>
      <c r="B55" s="3"/>
      <c r="C55" s="3"/>
      <c r="D55" s="3"/>
      <c r="E55" s="3"/>
      <c r="F55" s="3"/>
      <c r="G55" s="3"/>
    </row>
    <row r="56" ht="23" customHeight="1">
      <c r="A56" s="3"/>
      <c r="B56" s="3"/>
      <c r="C56" s="3"/>
      <c r="D56" s="3"/>
      <c r="E56" s="3"/>
      <c r="F56" s="3"/>
      <c r="G56" s="3"/>
    </row>
    <row r="57" ht="23" customHeight="1">
      <c r="A57" s="3"/>
      <c r="B57" s="3"/>
      <c r="C57" s="3"/>
      <c r="D57" s="3"/>
      <c r="E57" s="3"/>
      <c r="F57" s="3"/>
      <c r="G57" s="3"/>
    </row>
  </sheetData>
  <mergeCells>
    <mergeCell ref="B2:E2"/>
    <mergeCell ref="B3:E3"/>
    <mergeCell ref="B4:E4"/>
    <mergeCell ref="B35:E35"/>
    <mergeCell ref="B36:E36"/>
    <mergeCell ref="B38:E38"/>
    <mergeCell ref="B39:E39"/>
    <mergeCell ref="B41:E41"/>
    <mergeCell ref="B42:E42"/>
    <mergeCell ref="B44:E44"/>
    <mergeCell ref="B45:E45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9" orientation="landscape" scale="90" useFirstPageNumber="0"/>
  <headerFooter>
    <oddFooter>&amp;LPRIDE supplementary tables&amp;CS9&amp;RPage &amp;P of &amp;N</oddFooter>
  </headerFooter>
  <tableParts count="1">
    <tablePart ns1:id="R66d6be05a1cd4e79"/>
  </tableParts>
</worksheet>
</file>

<file path=xl/worksheets/sheet11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24" hidden="0" customWidth="1"/>
    <col min="3" max="3" width="14" hidden="0" customWidth="1"/>
    <col min="4" max="4" width="14" hidden="0" customWidth="1"/>
    <col min="5" max="5" width="72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ht="23" customHeight="1">
      <c r="A2" s="3"/>
      <c r="B2" s="5" t="str">
        <v>SUPPLEMENTARY TABLE S10</v>
      </c>
      <c r="C2" s="5"/>
      <c r="D2" s="5"/>
      <c r="E2" s="5"/>
      <c r="F2" s="3"/>
      <c r="G2" s="3"/>
      <c r="H2" s="3"/>
      <c r="I2" s="3"/>
      <c r="J2" s="3"/>
      <c r="K2" s="3"/>
    </row>
    <row r="3" ht="30" customHeight="1">
      <c r="A3" s="3"/>
      <c r="B3" s="7" t="str">
        <v>Standard results by export capability</v>
      </c>
      <c r="C3" s="7"/>
      <c r="D3" s="7"/>
      <c r="E3" s="7"/>
      <c r="F3" s="3"/>
      <c r="G3" s="3"/>
      <c r="H3" s="3"/>
      <c r="I3" s="3"/>
      <c r="J3" s="3"/>
      <c r="K3" s="3"/>
    </row>
    <row r="4" ht="29" customHeight="1">
      <c r="A4" s="3"/>
      <c r="B4" s="12" t="str">
        <v>Software export capability: default output, built-in option, or no standard-format export.</v>
      </c>
      <c r="C4" s="12"/>
      <c r="D4" s="12"/>
      <c r="E4" s="12"/>
      <c r="F4" s="3"/>
      <c r="G4" s="3"/>
      <c r="H4" s="3"/>
      <c r="I4" s="3"/>
      <c r="J4" s="3"/>
      <c r="K4" s="3"/>
    </row>
    <row r="5" ht="23" customHeight="1">
      <c r="A5" s="3"/>
      <c r="B5" s="28"/>
      <c r="C5" s="28"/>
      <c r="D5" s="28"/>
      <c r="E5" s="28"/>
      <c r="F5" s="3"/>
      <c r="G5" s="3"/>
      <c r="H5" s="3"/>
      <c r="I5" s="3"/>
      <c r="J5" s="3"/>
      <c r="K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  <c r="J6" s="3"/>
      <c r="K6" s="3"/>
    </row>
    <row r="7" ht="54" customHeight="1">
      <c r="A7" s="3"/>
      <c r="B7" s="35" t="str">
        <v>Export capability</v>
      </c>
      <c r="C7" s="36" t="str">
        <v>Datasets</v>
      </c>
      <c r="D7" s="36" t="str">
        <v>Groups</v>
      </c>
      <c r="E7" s="36" t="str">
        <v>Tools</v>
      </c>
      <c r="F7" s="36" t="str">
        <v>Standard results (%)</v>
      </c>
      <c r="G7" s="36" t="str">
        <v>Lower 95% bound</v>
      </c>
      <c r="H7" s="36" t="str">
        <v>Upper 95% bound</v>
      </c>
      <c r="I7" s="36" t="str">
        <v>Native results visible (%)</v>
      </c>
      <c r="J7" s="37" t="str">
        <v>Results in archives only (%)</v>
      </c>
      <c r="K7" s="3"/>
    </row>
    <row r="8" ht="39" customHeight="1">
      <c r="A8" s="3"/>
      <c r="B8" s="58" t="str">
        <v>built-in</v>
      </c>
      <c r="C8" s="44" t="n">
        <v>15707</v>
      </c>
      <c r="D8" s="44" t="n">
        <v>7343</v>
      </c>
      <c r="E8" s="58" t="str">
        <v>Byonic, Comet, Mascot, MaxQuant, OpenMS, PEAKS, PLGS, PeptideShaker, Progenesis, ProteinPilot, Proteome Discoverer, Scaffold, TPP, X!Tandem</v>
      </c>
      <c r="F8" s="110" t="n">
        <v>15.41</v>
      </c>
      <c r="G8" s="112" t="n">
        <v>13.75</v>
      </c>
      <c r="H8" s="112" t="n">
        <v>17.58</v>
      </c>
      <c r="I8" s="110" t="n">
        <v>40.49</v>
      </c>
      <c r="J8" s="110" t="n">
        <v>31.36</v>
      </c>
      <c r="K8" s="3"/>
    </row>
    <row r="9" ht="27" customHeight="1">
      <c r="A9" s="3"/>
      <c r="B9" s="59" t="str">
        <v>native</v>
      </c>
      <c r="C9" s="45" t="n">
        <v>144</v>
      </c>
      <c r="D9" s="45" t="n">
        <v>93</v>
      </c>
      <c r="E9" s="59" t="str">
        <v>MS-GF+, MetaMorpheus</v>
      </c>
      <c r="F9" s="111" t="n">
        <v>54.86</v>
      </c>
      <c r="G9" s="113" t="n">
        <v>43.86</v>
      </c>
      <c r="H9" s="113" t="n">
        <v>66.42</v>
      </c>
      <c r="I9" s="111" t="n">
        <v>68.75</v>
      </c>
      <c r="J9" s="111" t="n">
        <v>4.17</v>
      </c>
      <c r="K9" s="3"/>
    </row>
    <row r="10" ht="27" customHeight="1">
      <c r="A10" s="3"/>
      <c r="B10" s="58" t="str">
        <v>none</v>
      </c>
      <c r="C10" s="44" t="n">
        <v>1677</v>
      </c>
      <c r="D10" s="44" t="n">
        <v>945</v>
      </c>
      <c r="E10" s="58" t="str">
        <v>DIA-NN, FragPipe, OpenSWATH, Percolator, Sage, Skyline, pFind</v>
      </c>
      <c r="F10" s="110" t="n">
        <v>2.68</v>
      </c>
      <c r="G10" s="112" t="n">
        <v>1.64</v>
      </c>
      <c r="H10" s="112" t="n">
        <v>3.83</v>
      </c>
      <c r="I10" s="110" t="n">
        <v>51.58</v>
      </c>
      <c r="J10" s="110" t="n">
        <v>16.52</v>
      </c>
      <c r="K10" s="3"/>
    </row>
    <row r="11" ht="27" customHeight="1">
      <c r="A11" s="3"/>
      <c r="B11" s="66" t="str">
        <v>unknown</v>
      </c>
      <c r="C11" s="68" t="n">
        <v>1012</v>
      </c>
      <c r="D11" s="68" t="n">
        <v>529</v>
      </c>
      <c r="E11" s="66" t="str">
        <v>EncyclopeDIA, Spectronaut</v>
      </c>
      <c r="F11" s="114" t="n">
        <v>0.4</v>
      </c>
      <c r="G11" s="115" t="n">
        <v>0.09</v>
      </c>
      <c r="H11" s="115" t="n">
        <v>0.82</v>
      </c>
      <c r="I11" s="114" t="n">
        <v>56.82</v>
      </c>
      <c r="J11" s="114" t="n">
        <v>8.5</v>
      </c>
      <c r="K11" s="3"/>
    </row>
    <row r="12" ht="23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3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3" customHeight="1">
      <c r="A14" s="3"/>
      <c r="B14" s="53" t="str">
        <v>Table scope</v>
      </c>
      <c r="C14" s="5"/>
      <c r="D14" s="5"/>
      <c r="E14" s="5"/>
      <c r="F14" s="3"/>
      <c r="G14" s="3"/>
      <c r="H14" s="3"/>
      <c r="I14" s="3"/>
      <c r="J14" s="3"/>
      <c r="K14" s="3"/>
    </row>
    <row r="15" ht="27" customHeight="1">
      <c r="A15" s="3"/>
      <c r="B15" s="12" t="str">
        <v>Standard result files by export capability, with 95% group-bootstrap intervals (Fig. 4b)</v>
      </c>
      <c r="C15" s="12"/>
      <c r="D15" s="12"/>
      <c r="E15" s="12"/>
      <c r="F15" s="3"/>
      <c r="G15" s="3"/>
      <c r="H15" s="3"/>
      <c r="I15" s="3"/>
      <c r="J15" s="3"/>
      <c r="K15" s="3"/>
    </row>
    <row r="16" ht="23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3" customHeight="1">
      <c r="A17" s="3"/>
      <c r="B17" s="53" t="str">
        <v>Source</v>
      </c>
      <c r="C17" s="5"/>
      <c r="D17" s="5"/>
      <c r="E17" s="5"/>
      <c r="F17" s="3"/>
      <c r="G17" s="3"/>
      <c r="H17" s="3"/>
      <c r="I17" s="3"/>
      <c r="J17" s="3"/>
      <c r="K17" s="3"/>
    </row>
    <row r="18" ht="27" customHeight="1">
      <c r="A18" s="3"/>
      <c r="B18" s="12" t="str">
        <v>Tool-outputs/Standard-rate-by-export-capability.csv</v>
      </c>
      <c r="C18" s="12"/>
      <c r="D18" s="12"/>
      <c r="E18" s="12"/>
      <c r="F18" s="3"/>
      <c r="G18" s="3"/>
      <c r="H18" s="3"/>
      <c r="I18" s="3"/>
      <c r="J18" s="3"/>
      <c r="K18" s="3"/>
    </row>
    <row r="19" ht="23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3" customHeight="1">
      <c r="A20" s="3"/>
      <c r="B20" s="53" t="str">
        <v>Original column names</v>
      </c>
      <c r="C20" s="5"/>
      <c r="D20" s="5"/>
      <c r="E20" s="5"/>
      <c r="F20" s="3"/>
      <c r="G20" s="3"/>
      <c r="H20" s="3"/>
      <c r="I20" s="3"/>
      <c r="J20" s="3"/>
      <c r="K20" s="3"/>
    </row>
    <row r="21" ht="27" customHeight="1">
      <c r="A21" s="3"/>
      <c r="B21" s="12" t="str">
        <v>export_class, datasets, groups, tools, standard_pct, ci_low, ci_high, native_visible_pct, archive_only_pct</v>
      </c>
      <c r="C21" s="12"/>
      <c r="D21" s="12"/>
      <c r="E21" s="12"/>
      <c r="F21" s="3"/>
      <c r="G21" s="3"/>
      <c r="H21" s="3"/>
      <c r="I21" s="3"/>
      <c r="J21" s="3"/>
      <c r="K21" s="3"/>
    </row>
    <row r="22" ht="23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3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3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3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3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3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3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3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3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3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3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3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3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3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3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</sheetData>
  <mergeCells>
    <mergeCell ref="B2:E2"/>
    <mergeCell ref="B3:E3"/>
    <mergeCell ref="B4:E4"/>
    <mergeCell ref="B14:E14"/>
    <mergeCell ref="B15:E15"/>
    <mergeCell ref="B17:E17"/>
    <mergeCell ref="B18:E18"/>
    <mergeCell ref="B20:E20"/>
    <mergeCell ref="B21:E21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8" orientation="landscape" scale="90" useFirstPageNumber="0"/>
  <headerFooter>
    <oddFooter>&amp;LPRIDE supplementary tables&amp;CS10&amp;RPage &amp;P of &amp;N</oddFooter>
  </headerFooter>
  <tableParts count="1">
    <tablePart ns1:id="Rb8f37c396c544d80"/>
  </tableParts>
</worksheet>
</file>

<file path=xl/worksheets/sheet12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2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8" hidden="0" customWidth="1"/>
    <col min="14" max="14" width="14" hidden="0" customWidth="1"/>
    <col min="15" max="15" width="14" hidden="0" customWidth="1"/>
    <col min="16" max="16" width="14" hidden="0" customWidth="1"/>
    <col min="17" max="17" width="16" hidden="0" customWidth="1"/>
    <col min="18" max="18" width="16" hidden="0" customWidth="1"/>
    <col min="19" max="19" width="17" hidden="0" customWidth="1"/>
    <col min="20" max="20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23" customHeight="1">
      <c r="A2" s="3"/>
      <c r="B2" s="5" t="str">
        <v>SUPPLEMENTARY TABLE S11</v>
      </c>
      <c r="C2" s="5"/>
      <c r="D2" s="5"/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30" customHeight="1">
      <c r="A3" s="3"/>
      <c r="B3" s="7" t="str">
        <v>Age of software releases</v>
      </c>
      <c r="C3" s="7"/>
      <c r="D3" s="7"/>
      <c r="E3" s="7"/>
      <c r="F3" s="7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29" customHeight="1">
      <c r="A4" s="3"/>
      <c r="B4" s="12" t="str">
        <v>Software age is a lower bound, measured from its first recorded PRIDE submission.</v>
      </c>
      <c r="C4" s="12"/>
      <c r="D4" s="12"/>
      <c r="E4" s="12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3" customHeight="1">
      <c r="A5" s="3"/>
      <c r="B5" s="28"/>
      <c r="C5" s="28"/>
      <c r="D5" s="28"/>
      <c r="E5" s="28"/>
      <c r="F5" s="28"/>
      <c r="G5" s="2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54" customHeight="1">
      <c r="A7" s="3"/>
      <c r="B7" s="35" t="str">
        <v>Tool</v>
      </c>
      <c r="C7" s="36" t="str">
        <v>Datasets</v>
      </c>
      <c r="D7" s="36" t="str">
        <v>Groups</v>
      </c>
      <c r="E7" s="36" t="str">
        <v>Median age (years)</v>
      </c>
      <c r="F7" s="36" t="str">
        <v>Lower 95% bound</v>
      </c>
      <c r="G7" s="36" t="str">
        <v>Upper 95% bound</v>
      </c>
      <c r="H7" s="36" t="str">
        <v>10th percentile (years)</v>
      </c>
      <c r="I7" s="36" t="str">
        <v>25th percentile (years)</v>
      </c>
      <c r="J7" s="36" t="str">
        <v>75th percentile (years)</v>
      </c>
      <c r="K7" s="36" t="str">
        <v>90th percentile (years)</v>
      </c>
      <c r="L7" s="36" t="str">
        <v>Age &gt;2 years (%)</v>
      </c>
      <c r="M7" s="36" t="str">
        <v>Median, second-group anchor (years)</v>
      </c>
      <c r="N7" s="36" t="str">
        <v>Median at submission (years)</v>
      </c>
      <c r="O7" s="36" t="str">
        <v>Datasets, 2023–2025</v>
      </c>
      <c r="P7" s="36" t="str">
        <v>Median, 2023–2025 (years)</v>
      </c>
      <c r="Q7" s="36" t="str">
        <v>Later median, lower 95% (years)</v>
      </c>
      <c r="R7" s="36" t="str">
        <v>Later median, upper 95% (years)</v>
      </c>
      <c r="S7" s="36" t="str">
        <v>Oldest release at end-2025 (years)</v>
      </c>
      <c r="T7" s="37" t="str">
        <v>Tool first recorded</v>
      </c>
      <c r="U7" s="3"/>
    </row>
    <row r="8" ht="27" customHeight="1">
      <c r="A8" s="3"/>
      <c r="B8" s="58" t="str">
        <v>Skyline</v>
      </c>
      <c r="C8" s="44" t="n">
        <v>299</v>
      </c>
      <c r="D8" s="44" t="n">
        <v>219</v>
      </c>
      <c r="E8" s="62" t="n">
        <v>1.399</v>
      </c>
      <c r="F8" s="64" t="n">
        <v>1.18</v>
      </c>
      <c r="G8" s="64" t="n">
        <v>1.563</v>
      </c>
      <c r="H8" s="62" t="n">
        <v>0.373</v>
      </c>
      <c r="I8" s="62" t="n">
        <v>0.738</v>
      </c>
      <c r="J8" s="62" t="n">
        <v>2.361</v>
      </c>
      <c r="K8" s="62" t="n">
        <v>3.864</v>
      </c>
      <c r="L8" s="48" t="n">
        <v>30.769</v>
      </c>
      <c r="M8" s="62" t="n">
        <v>1.205</v>
      </c>
      <c r="N8" s="62" t="n">
        <v>0.594</v>
      </c>
      <c r="O8" s="44" t="n">
        <v>148</v>
      </c>
      <c r="P8" s="62" t="n">
        <v>1.828</v>
      </c>
      <c r="Q8" s="62" t="n">
        <v>1.528</v>
      </c>
      <c r="R8" s="62" t="n">
        <v>2.064</v>
      </c>
      <c r="S8" s="62" t="n">
        <v>11.63</v>
      </c>
      <c r="T8" s="58" t="str">
        <v>2014-05-15</v>
      </c>
      <c r="U8" s="3"/>
    </row>
    <row r="9" ht="27" customHeight="1">
      <c r="A9" s="3"/>
      <c r="B9" s="59" t="str">
        <v>FragPipe</v>
      </c>
      <c r="C9" s="45" t="n">
        <v>154</v>
      </c>
      <c r="D9" s="45" t="n">
        <v>98</v>
      </c>
      <c r="E9" s="63" t="n">
        <v>1.671</v>
      </c>
      <c r="F9" s="65" t="n">
        <v>1.604</v>
      </c>
      <c r="G9" s="65" t="n">
        <v>1.914</v>
      </c>
      <c r="H9" s="63" t="n">
        <v>0.675</v>
      </c>
      <c r="I9" s="63" t="n">
        <v>1.194</v>
      </c>
      <c r="J9" s="63" t="n">
        <v>2.164</v>
      </c>
      <c r="K9" s="63" t="n">
        <v>2.318</v>
      </c>
      <c r="L9" s="49" t="n">
        <v>34.416</v>
      </c>
      <c r="M9" s="63" t="n">
        <v>1.548</v>
      </c>
      <c r="N9" s="63" t="n">
        <v>0.979</v>
      </c>
      <c r="O9" s="45" t="n">
        <v>154</v>
      </c>
      <c r="P9" s="63" t="n">
        <v>1.671</v>
      </c>
      <c r="Q9" s="63" t="n">
        <v>1.604</v>
      </c>
      <c r="R9" s="63" t="n">
        <v>1.914</v>
      </c>
      <c r="S9" s="63" t="n">
        <v>2.872</v>
      </c>
      <c r="T9" s="59" t="str">
        <v>2023-02-16</v>
      </c>
      <c r="U9" s="3"/>
    </row>
    <row r="10" ht="27" customHeight="1">
      <c r="A10" s="3"/>
      <c r="B10" s="58" t="str">
        <v>DIA-NN</v>
      </c>
      <c r="C10" s="44" t="n">
        <v>377</v>
      </c>
      <c r="D10" s="44" t="n">
        <v>251</v>
      </c>
      <c r="E10" s="62" t="n">
        <v>2.313</v>
      </c>
      <c r="F10" s="64" t="n">
        <v>2.078</v>
      </c>
      <c r="G10" s="64" t="n">
        <v>2.501</v>
      </c>
      <c r="H10" s="62" t="n">
        <v>0.733</v>
      </c>
      <c r="I10" s="62" t="n">
        <v>1.383</v>
      </c>
      <c r="J10" s="62" t="n">
        <v>3.001</v>
      </c>
      <c r="K10" s="62" t="n">
        <v>3.342</v>
      </c>
      <c r="L10" s="48" t="n">
        <v>58.886</v>
      </c>
      <c r="M10" s="62" t="n">
        <v>2.138</v>
      </c>
      <c r="N10" s="62" t="n">
        <v>1.692</v>
      </c>
      <c r="O10" s="44" t="n">
        <v>362</v>
      </c>
      <c r="P10" s="62" t="n">
        <v>2.385</v>
      </c>
      <c r="Q10" s="62" t="n">
        <v>2.144</v>
      </c>
      <c r="R10" s="62" t="n">
        <v>2.554</v>
      </c>
      <c r="S10" s="62" t="n">
        <v>4.805</v>
      </c>
      <c r="T10" s="58" t="str">
        <v>2021-03-12</v>
      </c>
      <c r="U10" s="3"/>
    </row>
    <row r="11" ht="27" customHeight="1">
      <c r="A11" s="3"/>
      <c r="B11" s="59" t="str">
        <v>MaxQuant</v>
      </c>
      <c r="C11" s="45" t="n">
        <v>8586</v>
      </c>
      <c r="D11" s="45" t="n">
        <v>3599</v>
      </c>
      <c r="E11" s="63" t="n">
        <v>3.392</v>
      </c>
      <c r="F11" s="65" t="n">
        <v>3.31</v>
      </c>
      <c r="G11" s="65" t="n">
        <v>3.472</v>
      </c>
      <c r="H11" s="63" t="n">
        <v>1.246</v>
      </c>
      <c r="I11" s="63" t="n">
        <v>2.084</v>
      </c>
      <c r="J11" s="63" t="n">
        <v>5.034</v>
      </c>
      <c r="K11" s="63" t="n">
        <v>6.743</v>
      </c>
      <c r="L11" s="49" t="n">
        <v>76.601</v>
      </c>
      <c r="M11" s="63" t="n">
        <v>3.316</v>
      </c>
      <c r="N11" s="63" t="n">
        <v>2.489</v>
      </c>
      <c r="O11" s="45" t="n">
        <v>3232</v>
      </c>
      <c r="P11" s="63" t="n">
        <v>4.082</v>
      </c>
      <c r="Q11" s="63" t="n">
        <v>3.929</v>
      </c>
      <c r="R11" s="63" t="n">
        <v>4.194</v>
      </c>
      <c r="S11" s="63" t="n">
        <v>13.221</v>
      </c>
      <c r="T11" s="59" t="str">
        <v>2012-10-11</v>
      </c>
      <c r="U11" s="3"/>
    </row>
    <row r="12" ht="27" customHeight="1">
      <c r="A12" s="3"/>
      <c r="B12" s="76" t="str">
        <v>Mascot</v>
      </c>
      <c r="C12" s="51" t="n">
        <v>1205</v>
      </c>
      <c r="D12" s="51" t="n">
        <v>620</v>
      </c>
      <c r="E12" s="86" t="n">
        <v>5.235</v>
      </c>
      <c r="F12" s="87" t="n">
        <v>4.507</v>
      </c>
      <c r="G12" s="87" t="n">
        <v>5.932</v>
      </c>
      <c r="H12" s="86" t="n">
        <v>1.811</v>
      </c>
      <c r="I12" s="86" t="n">
        <v>2.992</v>
      </c>
      <c r="J12" s="86" t="n">
        <v>7.217</v>
      </c>
      <c r="K12" s="86" t="n">
        <v>9.464</v>
      </c>
      <c r="L12" s="52" t="n">
        <v>87.054</v>
      </c>
      <c r="M12" s="86" t="n">
        <v>4.895</v>
      </c>
      <c r="N12" s="86" t="n">
        <v>4.178</v>
      </c>
      <c r="O12" s="51" t="n">
        <v>379</v>
      </c>
      <c r="P12" s="86" t="n">
        <v>7.198</v>
      </c>
      <c r="Q12" s="86" t="n">
        <v>5.536</v>
      </c>
      <c r="R12" s="86" t="n">
        <v>8.345</v>
      </c>
      <c r="S12" s="86" t="n">
        <v>13.325</v>
      </c>
      <c r="T12" s="76" t="str">
        <v>2012-09-03</v>
      </c>
      <c r="U12" s="3"/>
    </row>
    <row r="13" ht="23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23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23" customHeight="1">
      <c r="A15" s="3"/>
      <c r="B15" s="53" t="str">
        <v>Table scope</v>
      </c>
      <c r="C15" s="5"/>
      <c r="D15" s="5"/>
      <c r="E15" s="5"/>
      <c r="F15" s="5"/>
      <c r="G15" s="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27" customHeight="1">
      <c r="A16" s="3"/>
      <c r="B16" s="12" t="str">
        <v>Age of the software release at public release, by tool (Supplementary Fig. 5)</v>
      </c>
      <c r="C16" s="12"/>
      <c r="D16" s="12"/>
      <c r="E16" s="12"/>
      <c r="F16" s="12"/>
      <c r="G16" s="1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23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23" customHeight="1">
      <c r="A18" s="3"/>
      <c r="B18" s="53" t="str">
        <v>Definition</v>
      </c>
      <c r="C18" s="5"/>
      <c r="D18" s="5"/>
      <c r="E18" s="5"/>
      <c r="F18" s="5"/>
      <c r="G18" s="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42" customHeight="1">
      <c r="A19" s="3"/>
      <c r="B19" s="12" t="str">
        <v>Years from the first PRIDE submission recording the exact release to public release of the dataset (a lower bound); medians with group-bootstrap intervals; ceilings = oldest release of the tool in PRIDE.</v>
      </c>
      <c r="C19" s="12"/>
      <c r="D19" s="12"/>
      <c r="E19" s="12"/>
      <c r="F19" s="12"/>
      <c r="G19" s="1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23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23" customHeight="1">
      <c r="A21" s="3"/>
      <c r="B21" s="53" t="str">
        <v>Source</v>
      </c>
      <c r="C21" s="5"/>
      <c r="D21" s="5"/>
      <c r="E21" s="5"/>
      <c r="F21" s="5"/>
      <c r="G21" s="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27" customHeight="1">
      <c r="A22" s="3"/>
      <c r="B22" s="12" t="str">
        <v>Gallery/data/33-tool-age-at-release.csv</v>
      </c>
      <c r="C22" s="12"/>
      <c r="D22" s="12"/>
      <c r="E22" s="12"/>
      <c r="F22" s="12"/>
      <c r="G22" s="1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23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23" customHeight="1">
      <c r="A24" s="3"/>
      <c r="B24" s="53" t="str">
        <v>Original column names</v>
      </c>
      <c r="C24" s="5"/>
      <c r="D24" s="5"/>
      <c r="E24" s="5"/>
      <c r="F24" s="5"/>
      <c r="G24" s="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57" customHeight="1">
      <c r="A25" s="3"/>
      <c r="B25" s="12" t="str">
        <v>tool, datasets, groups, median_years, ci_lo, ci_hi, q10, q25, q75, q90, pct_gt2y, median_2nd_group_anchor, median_at_submission, datasets_2023_25, median_2023_25, ci_lo_2023_25, ci_hi_2023_25, ceiling_years_end_2025, tool_first_seen</v>
      </c>
      <c r="C25" s="12"/>
      <c r="D25" s="12"/>
      <c r="E25" s="12"/>
      <c r="F25" s="12"/>
      <c r="G25" s="1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23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23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23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23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23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23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23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23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23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23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23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23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</sheetData>
  <mergeCells>
    <mergeCell ref="B2:G2"/>
    <mergeCell ref="B3:G3"/>
    <mergeCell ref="B4:G4"/>
    <mergeCell ref="B15:G15"/>
    <mergeCell ref="B16:G16"/>
    <mergeCell ref="B18:G18"/>
    <mergeCell ref="B19:G19"/>
    <mergeCell ref="B21:G21"/>
    <mergeCell ref="B22:G22"/>
    <mergeCell ref="B24:G24"/>
    <mergeCell ref="B25:G25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8" orientation="landscape" scale="90" useFirstPageNumber="0"/>
  <headerFooter>
    <oddFooter>&amp;LPRIDE supplementary tables&amp;CS11&amp;RPage &amp;P of &amp;N</oddFooter>
  </headerFooter>
  <tableParts count="1">
    <tablePart ns1:id="R1c5fed60687147ca"/>
  </tableParts>
</worksheet>
</file>

<file path=xl/worksheets/sheet13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39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</row>
    <row r="2" ht="23" customHeight="1">
      <c r="A2" s="3"/>
      <c r="B2" s="5" t="str">
        <v>SUPPLEMENTARY TABLE S12</v>
      </c>
      <c r="C2" s="5"/>
      <c r="D2" s="5"/>
      <c r="E2" s="5"/>
      <c r="F2" s="5"/>
      <c r="G2" s="5"/>
      <c r="H2" s="3"/>
      <c r="I2" s="3"/>
    </row>
    <row r="3" ht="30" customHeight="1">
      <c r="A3" s="3"/>
      <c r="B3" s="7" t="str">
        <v>Software version series in 2025</v>
      </c>
      <c r="C3" s="7"/>
      <c r="D3" s="7"/>
      <c r="E3" s="7"/>
      <c r="F3" s="7"/>
      <c r="G3" s="7"/>
      <c r="H3" s="3"/>
      <c r="I3" s="3"/>
    </row>
    <row r="4" ht="29" customHeight="1">
      <c r="A4" s="3"/>
      <c r="B4" s="12" t="str">
        <v>Shares are among 2025 submissions with a recovered version. Coverage varies by tool.</v>
      </c>
      <c r="C4" s="12"/>
      <c r="D4" s="12"/>
      <c r="E4" s="12"/>
      <c r="F4" s="12"/>
      <c r="G4" s="12"/>
      <c r="H4" s="3"/>
      <c r="I4" s="3"/>
    </row>
    <row r="5" ht="23" customHeight="1">
      <c r="A5" s="3"/>
      <c r="B5" s="28"/>
      <c r="C5" s="28"/>
      <c r="D5" s="28"/>
      <c r="E5" s="28"/>
      <c r="F5" s="28"/>
      <c r="G5" s="28"/>
      <c r="H5" s="3"/>
      <c r="I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</row>
    <row r="7" ht="54" customHeight="1">
      <c r="A7" s="3"/>
      <c r="B7" s="35" t="str">
        <v>Software series</v>
      </c>
      <c r="C7" s="36" t="str">
        <v>Share (%)</v>
      </c>
      <c r="D7" s="36" t="str">
        <v>Lower 95% bound</v>
      </c>
      <c r="E7" s="36" t="str">
        <v>Upper 95% bound</v>
      </c>
      <c r="F7" s="36" t="str">
        <v>Versioned 2025 datasets</v>
      </c>
      <c r="G7" s="36" t="str">
        <v>Datasets in series</v>
      </c>
      <c r="H7" s="37" t="str">
        <v>Groups in series</v>
      </c>
      <c r="I7" s="3"/>
    </row>
    <row r="8" ht="27" customHeight="1">
      <c r="A8" s="3"/>
      <c r="B8" s="58" t="str">
        <v>MaxQuant 1.6</v>
      </c>
      <c r="C8" s="110" t="n">
        <v>40.17</v>
      </c>
      <c r="D8" s="112" t="n">
        <v>34.27</v>
      </c>
      <c r="E8" s="112" t="n">
        <v>46.58</v>
      </c>
      <c r="F8" s="44" t="n">
        <v>361</v>
      </c>
      <c r="G8" s="44" t="n">
        <v>145</v>
      </c>
      <c r="H8" s="44" t="n">
        <v>116</v>
      </c>
      <c r="I8" s="3"/>
    </row>
    <row r="9" ht="27" customHeight="1">
      <c r="A9" s="3"/>
      <c r="B9" s="59" t="str">
        <v>MaxQuant 1.x</v>
      </c>
      <c r="C9" s="111" t="n">
        <v>45.98</v>
      </c>
      <c r="D9" s="113" t="n">
        <v>40.21</v>
      </c>
      <c r="E9" s="113" t="n">
        <v>52.45</v>
      </c>
      <c r="F9" s="45" t="n">
        <v>361</v>
      </c>
      <c r="G9" s="45" t="n">
        <v>166</v>
      </c>
      <c r="H9" s="45" t="n">
        <v>131</v>
      </c>
      <c r="I9" s="3"/>
    </row>
    <row r="10" ht="27" customHeight="1">
      <c r="A10" s="3"/>
      <c r="B10" s="58" t="str">
        <v>DIA-NN 1.8</v>
      </c>
      <c r="C10" s="110" t="n">
        <v>60.91</v>
      </c>
      <c r="D10" s="112" t="n">
        <v>47.66</v>
      </c>
      <c r="E10" s="112" t="n">
        <v>73.79</v>
      </c>
      <c r="F10" s="44" t="n">
        <v>110</v>
      </c>
      <c r="G10" s="44" t="n">
        <v>67</v>
      </c>
      <c r="H10" s="44" t="n">
        <v>58</v>
      </c>
      <c r="I10" s="3"/>
    </row>
    <row r="11" ht="27" customHeight="1">
      <c r="A11" s="3"/>
      <c r="B11" s="59" t="str">
        <v>Proteome Discoverer 2.x</v>
      </c>
      <c r="C11" s="111" t="n">
        <v>68.75</v>
      </c>
      <c r="D11" s="113" t="n">
        <v>56.88</v>
      </c>
      <c r="E11" s="113" t="n">
        <v>78.85</v>
      </c>
      <c r="F11" s="45" t="n">
        <v>112</v>
      </c>
      <c r="G11" s="45" t="n">
        <v>77</v>
      </c>
      <c r="H11" s="45" t="n">
        <v>56</v>
      </c>
      <c r="I11" s="3"/>
    </row>
    <row r="12" ht="27" customHeight="1">
      <c r="A12" s="3"/>
      <c r="B12" s="76" t="str">
        <v>FragPipe 22</v>
      </c>
      <c r="C12" s="116" t="n">
        <v>64.44</v>
      </c>
      <c r="D12" s="117" t="n">
        <v>44.74</v>
      </c>
      <c r="E12" s="117" t="n">
        <v>80.4</v>
      </c>
      <c r="F12" s="51" t="n">
        <v>45</v>
      </c>
      <c r="G12" s="51" t="n">
        <v>29</v>
      </c>
      <c r="H12" s="51" t="n">
        <v>22</v>
      </c>
      <c r="I12" s="3"/>
    </row>
    <row r="13" ht="23" customHeight="1">
      <c r="A13" s="3"/>
      <c r="B13" s="3"/>
      <c r="C13" s="3"/>
      <c r="D13" s="3"/>
      <c r="E13" s="3"/>
      <c r="F13" s="3"/>
      <c r="G13" s="3"/>
      <c r="H13" s="3"/>
      <c r="I13" s="3"/>
    </row>
    <row r="14" ht="23" customHeight="1">
      <c r="A14" s="3"/>
      <c r="B14" s="3"/>
      <c r="C14" s="3"/>
      <c r="D14" s="3"/>
      <c r="E14" s="3"/>
      <c r="F14" s="3"/>
      <c r="G14" s="3"/>
      <c r="H14" s="3"/>
      <c r="I14" s="3"/>
    </row>
    <row r="15" ht="23" customHeight="1">
      <c r="A15" s="3"/>
      <c r="B15" s="53" t="str">
        <v>Table scope</v>
      </c>
      <c r="C15" s="5"/>
      <c r="D15" s="5"/>
      <c r="E15" s="5"/>
      <c r="F15" s="5"/>
      <c r="G15" s="5"/>
      <c r="H15" s="3"/>
      <c r="I15" s="3"/>
    </row>
    <row r="16" ht="27" customHeight="1">
      <c r="A16" s="3"/>
      <c r="B16" s="12" t="str">
        <v>Software release lines in 2025 submissions (Supplementary Fig. 4)</v>
      </c>
      <c r="C16" s="12"/>
      <c r="D16" s="12"/>
      <c r="E16" s="12"/>
      <c r="F16" s="12"/>
      <c r="G16" s="12"/>
      <c r="H16" s="3"/>
      <c r="I16" s="3"/>
    </row>
    <row r="17" ht="23" customHeight="1">
      <c r="A17" s="3"/>
      <c r="B17" s="3"/>
      <c r="C17" s="3"/>
      <c r="D17" s="3"/>
      <c r="E17" s="3"/>
      <c r="F17" s="3"/>
      <c r="G17" s="3"/>
      <c r="H17" s="3"/>
      <c r="I17" s="3"/>
    </row>
    <row r="18" ht="23" customHeight="1">
      <c r="A18" s="3"/>
      <c r="B18" s="53" t="str">
        <v>Definition</v>
      </c>
      <c r="C18" s="5"/>
      <c r="D18" s="5"/>
      <c r="E18" s="5"/>
      <c r="F18" s="5"/>
      <c r="G18" s="5"/>
      <c r="H18" s="3"/>
      <c r="I18" s="3"/>
    </row>
    <row r="19" ht="27" customHeight="1">
      <c r="A19" s="3"/>
      <c r="B19" s="12" t="str">
        <v>Share of datasets with a recovered version.</v>
      </c>
      <c r="C19" s="12"/>
      <c r="D19" s="12"/>
      <c r="E19" s="12"/>
      <c r="F19" s="12"/>
      <c r="G19" s="12"/>
      <c r="H19" s="3"/>
      <c r="I19" s="3"/>
    </row>
    <row r="20" ht="23" customHeight="1">
      <c r="A20" s="3"/>
      <c r="B20" s="3"/>
      <c r="C20" s="3"/>
      <c r="D20" s="3"/>
      <c r="E20" s="3"/>
      <c r="F20" s="3"/>
      <c r="G20" s="3"/>
      <c r="H20" s="3"/>
      <c r="I20" s="3"/>
    </row>
    <row r="21" ht="23" customHeight="1">
      <c r="A21" s="3"/>
      <c r="B21" s="53" t="str">
        <v>Source</v>
      </c>
      <c r="C21" s="5"/>
      <c r="D21" s="5"/>
      <c r="E21" s="5"/>
      <c r="F21" s="5"/>
      <c r="G21" s="5"/>
      <c r="H21" s="3"/>
      <c r="I21" s="3"/>
    </row>
    <row r="22" ht="27" customHeight="1">
      <c r="A22" s="3"/>
      <c r="B22" s="12" t="str">
        <v>Gallery/data/31-version-streams-2025-shares.csv</v>
      </c>
      <c r="C22" s="12"/>
      <c r="D22" s="12"/>
      <c r="E22" s="12"/>
      <c r="F22" s="12"/>
      <c r="G22" s="12"/>
      <c r="H22" s="3"/>
      <c r="I22" s="3"/>
    </row>
    <row r="23" ht="23" customHeight="1">
      <c r="A23" s="3"/>
      <c r="B23" s="3"/>
      <c r="C23" s="3"/>
      <c r="D23" s="3"/>
      <c r="E23" s="3"/>
      <c r="F23" s="3"/>
      <c r="G23" s="3"/>
      <c r="H23" s="3"/>
      <c r="I23" s="3"/>
    </row>
    <row r="24" ht="23" customHeight="1">
      <c r="A24" s="3"/>
      <c r="B24" s="53" t="str">
        <v>Original column names</v>
      </c>
      <c r="C24" s="5"/>
      <c r="D24" s="5"/>
      <c r="E24" s="5"/>
      <c r="F24" s="5"/>
      <c r="G24" s="5"/>
      <c r="H24" s="3"/>
      <c r="I24" s="3"/>
    </row>
    <row r="25" ht="27" customHeight="1">
      <c r="A25" s="3"/>
      <c r="B25" s="12" t="str">
        <v>metric, share_pct, ci_lo, ci_hi, versioned_datasets_2025, datasets_on_line, groups_on_line</v>
      </c>
      <c r="C25" s="12"/>
      <c r="D25" s="12"/>
      <c r="E25" s="12"/>
      <c r="F25" s="12"/>
      <c r="G25" s="12"/>
      <c r="H25" s="3"/>
      <c r="I25" s="3"/>
    </row>
    <row r="26" ht="23" customHeight="1">
      <c r="A26" s="3"/>
      <c r="B26" s="3"/>
      <c r="C26" s="3"/>
      <c r="D26" s="3"/>
      <c r="E26" s="3"/>
      <c r="F26" s="3"/>
      <c r="G26" s="3"/>
      <c r="H26" s="3"/>
      <c r="I26" s="3"/>
    </row>
    <row r="27" ht="23" customHeight="1">
      <c r="A27" s="3"/>
      <c r="B27" s="3"/>
      <c r="C27" s="3"/>
      <c r="D27" s="3"/>
      <c r="E27" s="3"/>
      <c r="F27" s="3"/>
      <c r="G27" s="3"/>
      <c r="H27" s="3"/>
      <c r="I27" s="3"/>
    </row>
    <row r="28" ht="23" customHeight="1">
      <c r="A28" s="3"/>
      <c r="B28" s="3"/>
      <c r="C28" s="3"/>
      <c r="D28" s="3"/>
      <c r="E28" s="3"/>
      <c r="F28" s="3"/>
      <c r="G28" s="3"/>
      <c r="H28" s="3"/>
      <c r="I28" s="3"/>
    </row>
    <row r="29" ht="23" customHeight="1">
      <c r="A29" s="3"/>
      <c r="B29" s="3"/>
      <c r="C29" s="3"/>
      <c r="D29" s="3"/>
      <c r="E29" s="3"/>
      <c r="F29" s="3"/>
      <c r="G29" s="3"/>
      <c r="H29" s="3"/>
      <c r="I29" s="3"/>
    </row>
    <row r="30" ht="23" customHeight="1">
      <c r="A30" s="3"/>
      <c r="B30" s="3"/>
      <c r="C30" s="3"/>
      <c r="D30" s="3"/>
      <c r="E30" s="3"/>
      <c r="F30" s="3"/>
      <c r="G30" s="3"/>
      <c r="H30" s="3"/>
      <c r="I30" s="3"/>
    </row>
    <row r="31" ht="23" customHeight="1">
      <c r="A31" s="3"/>
      <c r="B31" s="3"/>
      <c r="C31" s="3"/>
      <c r="D31" s="3"/>
      <c r="E31" s="3"/>
      <c r="F31" s="3"/>
      <c r="G31" s="3"/>
      <c r="H31" s="3"/>
      <c r="I31" s="3"/>
    </row>
    <row r="32" ht="23" customHeight="1">
      <c r="A32" s="3"/>
      <c r="B32" s="3"/>
      <c r="C32" s="3"/>
      <c r="D32" s="3"/>
      <c r="E32" s="3"/>
      <c r="F32" s="3"/>
      <c r="G32" s="3"/>
      <c r="H32" s="3"/>
      <c r="I32" s="3"/>
    </row>
    <row r="33" ht="23" customHeight="1">
      <c r="A33" s="3"/>
      <c r="B33" s="3"/>
      <c r="C33" s="3"/>
      <c r="D33" s="3"/>
      <c r="E33" s="3"/>
      <c r="F33" s="3"/>
      <c r="G33" s="3"/>
      <c r="H33" s="3"/>
      <c r="I33" s="3"/>
    </row>
    <row r="34" ht="23" customHeight="1">
      <c r="A34" s="3"/>
      <c r="B34" s="3"/>
      <c r="C34" s="3"/>
      <c r="D34" s="3"/>
      <c r="E34" s="3"/>
      <c r="F34" s="3"/>
      <c r="G34" s="3"/>
      <c r="H34" s="3"/>
      <c r="I34" s="3"/>
    </row>
    <row r="35" ht="23" customHeight="1">
      <c r="A35" s="3"/>
      <c r="B35" s="3"/>
      <c r="C35" s="3"/>
      <c r="D35" s="3"/>
      <c r="E35" s="3"/>
      <c r="F35" s="3"/>
      <c r="G35" s="3"/>
      <c r="H35" s="3"/>
      <c r="I35" s="3"/>
    </row>
    <row r="36" ht="23" customHeight="1">
      <c r="A36" s="3"/>
      <c r="B36" s="3"/>
      <c r="C36" s="3"/>
      <c r="D36" s="3"/>
      <c r="E36" s="3"/>
      <c r="F36" s="3"/>
      <c r="G36" s="3"/>
      <c r="H36" s="3"/>
      <c r="I36" s="3"/>
    </row>
    <row r="37" ht="23" customHeight="1">
      <c r="A37" s="3"/>
      <c r="B37" s="3"/>
      <c r="C37" s="3"/>
      <c r="D37" s="3"/>
      <c r="E37" s="3"/>
      <c r="F37" s="3"/>
      <c r="G37" s="3"/>
      <c r="H37" s="3"/>
      <c r="I37" s="3"/>
    </row>
  </sheetData>
  <mergeCells>
    <mergeCell ref="B2:G2"/>
    <mergeCell ref="B3:G3"/>
    <mergeCell ref="B4:G4"/>
    <mergeCell ref="B15:G15"/>
    <mergeCell ref="B16:G16"/>
    <mergeCell ref="B18:G18"/>
    <mergeCell ref="B19:G19"/>
    <mergeCell ref="B21:G21"/>
    <mergeCell ref="B22:G22"/>
    <mergeCell ref="B24:G24"/>
    <mergeCell ref="B25:G25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9" orientation="landscape" scale="90" useFirstPageNumber="0"/>
  <headerFooter>
    <oddFooter>&amp;LPRIDE supplementary tables&amp;CS12&amp;RPage &amp;P of &amp;N</oddFooter>
  </headerFooter>
  <tableParts count="1">
    <tablePart ns1:id="R7ddeb504eec349da"/>
  </tableParts>
</worksheet>
</file>

<file path=xl/worksheets/sheet14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14" hidden="0" customWidth="1"/>
    <col min="3" max="3" width="14" hidden="0" customWidth="1"/>
    <col min="4" max="4" width="15" hidden="0" customWidth="1"/>
    <col min="5" max="5" width="16" hidden="0" customWidth="1"/>
    <col min="6" max="6" width="17" hidden="0" customWidth="1"/>
    <col min="7" max="7" width="15" hidden="0" customWidth="1"/>
    <col min="8" max="8" width="16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7" hidden="0" customWidth="1"/>
    <col min="16" max="16" width="16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23" customHeight="1">
      <c r="A2" s="3"/>
      <c r="B2" s="5" t="str">
        <v>SUPPLEMENTARY TABLE S13</v>
      </c>
      <c r="C2" s="5"/>
      <c r="D2" s="5"/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Q2" s="3"/>
    </row>
    <row r="3" ht="30" customHeight="1">
      <c r="A3" s="3"/>
      <c r="B3" s="7" t="str">
        <v>Results found at each search depth</v>
      </c>
      <c r="C3" s="7"/>
      <c r="D3" s="7"/>
      <c r="E3" s="7"/>
      <c r="F3" s="7"/>
      <c r="G3" s="7"/>
      <c r="H3" s="3"/>
      <c r="I3" s="3"/>
      <c r="J3" s="3"/>
      <c r="K3" s="3"/>
      <c r="L3" s="3"/>
      <c r="M3" s="3"/>
      <c r="N3" s="3"/>
      <c r="O3" s="3"/>
      <c r="P3" s="3"/>
      <c r="Q3" s="3"/>
    </row>
    <row r="4" ht="29" customHeight="1">
      <c r="A4" s="3"/>
      <c r="B4" s="12" t="str">
        <v>Search depth: top-level names, archive contents, then table headers. Detection is a lower bound.</v>
      </c>
      <c r="C4" s="12"/>
      <c r="D4" s="12"/>
      <c r="E4" s="12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</row>
    <row r="5" ht="23" customHeight="1">
      <c r="A5" s="3"/>
      <c r="B5" s="28"/>
      <c r="C5" s="28"/>
      <c r="D5" s="28"/>
      <c r="E5" s="28"/>
      <c r="F5" s="28"/>
      <c r="G5" s="28"/>
      <c r="H5" s="3"/>
      <c r="I5" s="3"/>
      <c r="J5" s="3"/>
      <c r="K5" s="3"/>
      <c r="L5" s="3"/>
      <c r="M5" s="3"/>
      <c r="N5" s="3"/>
      <c r="O5" s="3"/>
      <c r="P5" s="3"/>
      <c r="Q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54" customHeight="1">
      <c r="A7" s="3"/>
      <c r="B7" s="35" t="str">
        <v>Release year</v>
      </c>
      <c r="C7" s="36" t="str">
        <v>Standard results, names (%)</v>
      </c>
      <c r="D7" s="36" t="str">
        <v>Standard results, archives (%)</v>
      </c>
      <c r="E7" s="36" t="str">
        <v>Identifiable results, names (%)</v>
      </c>
      <c r="F7" s="36" t="str">
        <v>Identifiable results, archives (%)</v>
      </c>
      <c r="G7" s="36" t="str">
        <v>Tool-specific only, names (%)</v>
      </c>
      <c r="H7" s="36" t="str">
        <v>Tool-specific only, archives (%)</v>
      </c>
      <c r="I7" s="36" t="str">
        <v>Sequence DB, names (%)</v>
      </c>
      <c r="J7" s="36" t="str">
        <v>Sequence DB, archives (%)</v>
      </c>
      <c r="K7" s="36" t="str">
        <v>Sample metadata, names (%)</v>
      </c>
      <c r="L7" s="36" t="str">
        <v>SDRF, archives (%)</v>
      </c>
      <c r="M7" s="36" t="str">
        <v>Unread archive (%)</v>
      </c>
      <c r="N7" s="36" t="str">
        <v>Datasets</v>
      </c>
      <c r="O7" s="36" t="str">
        <v>Identifiable results, headers (%)</v>
      </c>
      <c r="P7" s="37" t="str">
        <v>Tool-specific only, headers (%)</v>
      </c>
      <c r="Q7" s="3"/>
    </row>
    <row r="8" ht="27" customHeight="1">
      <c r="A8" s="3"/>
      <c r="B8" s="40" t="n">
        <v>2013</v>
      </c>
      <c r="C8" s="48" t="n">
        <v>9.4</v>
      </c>
      <c r="D8" s="48" t="n">
        <v>9.4</v>
      </c>
      <c r="E8" s="48" t="n">
        <v>92.1</v>
      </c>
      <c r="F8" s="48" t="n">
        <v>95.3</v>
      </c>
      <c r="G8" s="48" t="n">
        <v>7.9</v>
      </c>
      <c r="H8" s="48" t="n">
        <v>4.3</v>
      </c>
      <c r="I8" s="48" t="n">
        <v>6.3</v>
      </c>
      <c r="J8" s="48" t="n">
        <v>7.5</v>
      </c>
      <c r="K8" s="48" t="n">
        <v>0.4</v>
      </c>
      <c r="L8" s="48" t="n">
        <v>0.4</v>
      </c>
      <c r="M8" s="48" t="n">
        <v>2.4</v>
      </c>
      <c r="N8" s="44" t="n">
        <v>254</v>
      </c>
      <c r="O8" s="48" t="n">
        <v>96.5</v>
      </c>
      <c r="P8" s="48" t="n">
        <v>3.1</v>
      </c>
      <c r="Q8" s="3"/>
    </row>
    <row r="9" ht="27" customHeight="1">
      <c r="A9" s="3"/>
      <c r="B9" s="41" t="n">
        <v>2014</v>
      </c>
      <c r="C9" s="49" t="n">
        <v>13</v>
      </c>
      <c r="D9" s="49" t="n">
        <v>13.3</v>
      </c>
      <c r="E9" s="49" t="n">
        <v>81.2</v>
      </c>
      <c r="F9" s="49" t="n">
        <v>88.6</v>
      </c>
      <c r="G9" s="49" t="n">
        <v>17.2</v>
      </c>
      <c r="H9" s="49" t="n">
        <v>9.7</v>
      </c>
      <c r="I9" s="49" t="n">
        <v>6.4</v>
      </c>
      <c r="J9" s="49" t="n">
        <v>7.2</v>
      </c>
      <c r="K9" s="49" t="n">
        <v>2.3</v>
      </c>
      <c r="L9" s="49" t="n">
        <v>2.3</v>
      </c>
      <c r="M9" s="49" t="n">
        <v>2.3</v>
      </c>
      <c r="N9" s="45" t="n">
        <v>483</v>
      </c>
      <c r="O9" s="49" t="n">
        <v>89</v>
      </c>
      <c r="P9" s="49" t="n">
        <v>9.3</v>
      </c>
      <c r="Q9" s="3"/>
    </row>
    <row r="10" ht="27" customHeight="1">
      <c r="A10" s="3"/>
      <c r="B10" s="40" t="n">
        <v>2015</v>
      </c>
      <c r="C10" s="48" t="n">
        <v>19.3</v>
      </c>
      <c r="D10" s="48" t="n">
        <v>19.3</v>
      </c>
      <c r="E10" s="48" t="n">
        <v>80.7</v>
      </c>
      <c r="F10" s="48" t="n">
        <v>90.6</v>
      </c>
      <c r="G10" s="48" t="n">
        <v>18.1</v>
      </c>
      <c r="H10" s="48" t="n">
        <v>8.4</v>
      </c>
      <c r="I10" s="48" t="n">
        <v>12.1</v>
      </c>
      <c r="J10" s="48" t="n">
        <v>13.6</v>
      </c>
      <c r="K10" s="48" t="n">
        <v>2.8</v>
      </c>
      <c r="L10" s="48" t="n">
        <v>2.8</v>
      </c>
      <c r="M10" s="48" t="n">
        <v>6.2</v>
      </c>
      <c r="N10" s="44" t="n">
        <v>794</v>
      </c>
      <c r="O10" s="48" t="n">
        <v>91.7</v>
      </c>
      <c r="P10" s="48" t="n">
        <v>7.3</v>
      </c>
      <c r="Q10" s="3"/>
    </row>
    <row r="11" ht="27" customHeight="1">
      <c r="A11" s="3"/>
      <c r="B11" s="41" t="n">
        <v>2016</v>
      </c>
      <c r="C11" s="49" t="n">
        <v>16.8</v>
      </c>
      <c r="D11" s="49" t="n">
        <v>17</v>
      </c>
      <c r="E11" s="49" t="n">
        <v>79</v>
      </c>
      <c r="F11" s="49" t="n">
        <v>88.3</v>
      </c>
      <c r="G11" s="49" t="n">
        <v>19.7</v>
      </c>
      <c r="H11" s="49" t="n">
        <v>10.5</v>
      </c>
      <c r="I11" s="49" t="n">
        <v>13.6</v>
      </c>
      <c r="J11" s="49" t="n">
        <v>15.1</v>
      </c>
      <c r="K11" s="49" t="n">
        <v>1.4</v>
      </c>
      <c r="L11" s="49" t="n">
        <v>1.5</v>
      </c>
      <c r="M11" s="49" t="n">
        <v>8.4</v>
      </c>
      <c r="N11" s="45" t="n">
        <v>1195</v>
      </c>
      <c r="O11" s="49" t="n">
        <v>89.8</v>
      </c>
      <c r="P11" s="49" t="n">
        <v>9</v>
      </c>
      <c r="Q11" s="3"/>
    </row>
    <row r="12" ht="27" customHeight="1">
      <c r="A12" s="3"/>
      <c r="B12" s="40" t="n">
        <v>2017</v>
      </c>
      <c r="C12" s="48" t="n">
        <v>17.3</v>
      </c>
      <c r="D12" s="48" t="n">
        <v>17.3</v>
      </c>
      <c r="E12" s="48" t="n">
        <v>76.8</v>
      </c>
      <c r="F12" s="48" t="n">
        <v>86.7</v>
      </c>
      <c r="G12" s="48" t="n">
        <v>22</v>
      </c>
      <c r="H12" s="48" t="n">
        <v>12.3</v>
      </c>
      <c r="I12" s="48" t="n">
        <v>16.3</v>
      </c>
      <c r="J12" s="48" t="n">
        <v>18.1</v>
      </c>
      <c r="K12" s="48" t="n">
        <v>2</v>
      </c>
      <c r="L12" s="48" t="n">
        <v>2</v>
      </c>
      <c r="M12" s="48" t="n">
        <v>8.2</v>
      </c>
      <c r="N12" s="44" t="n">
        <v>1310</v>
      </c>
      <c r="O12" s="48" t="n">
        <v>88.8</v>
      </c>
      <c r="P12" s="48" t="n">
        <v>10.2</v>
      </c>
      <c r="Q12" s="3"/>
    </row>
    <row r="13" ht="27" customHeight="1">
      <c r="A13" s="3"/>
      <c r="B13" s="41" t="n">
        <v>2018</v>
      </c>
      <c r="C13" s="49" t="n">
        <v>18.1</v>
      </c>
      <c r="D13" s="49" t="n">
        <v>18.2</v>
      </c>
      <c r="E13" s="49" t="n">
        <v>77.1</v>
      </c>
      <c r="F13" s="49" t="n">
        <v>85.3</v>
      </c>
      <c r="G13" s="49" t="n">
        <v>21.1</v>
      </c>
      <c r="H13" s="49" t="n">
        <v>13.2</v>
      </c>
      <c r="I13" s="49" t="n">
        <v>15.1</v>
      </c>
      <c r="J13" s="49" t="n">
        <v>16</v>
      </c>
      <c r="K13" s="49" t="n">
        <v>0.6</v>
      </c>
      <c r="L13" s="49" t="n">
        <v>0.6</v>
      </c>
      <c r="M13" s="49" t="n">
        <v>7.7</v>
      </c>
      <c r="N13" s="45" t="n">
        <v>2168</v>
      </c>
      <c r="O13" s="49" t="n">
        <v>88.1</v>
      </c>
      <c r="P13" s="49" t="n">
        <v>10.5</v>
      </c>
      <c r="Q13" s="3"/>
    </row>
    <row r="14" ht="27" customHeight="1">
      <c r="A14" s="3"/>
      <c r="B14" s="40" t="n">
        <v>2019</v>
      </c>
      <c r="C14" s="48" t="n">
        <v>17.2</v>
      </c>
      <c r="D14" s="48" t="n">
        <v>17.5</v>
      </c>
      <c r="E14" s="48" t="n">
        <v>74.9</v>
      </c>
      <c r="F14" s="48" t="n">
        <v>82.5</v>
      </c>
      <c r="G14" s="48" t="n">
        <v>22.9</v>
      </c>
      <c r="H14" s="48" t="n">
        <v>15.4</v>
      </c>
      <c r="I14" s="48" t="n">
        <v>16.5</v>
      </c>
      <c r="J14" s="48" t="n">
        <v>18</v>
      </c>
      <c r="K14" s="48" t="n">
        <v>0.9</v>
      </c>
      <c r="L14" s="48" t="n">
        <v>0.9</v>
      </c>
      <c r="M14" s="48" t="n">
        <v>6.8</v>
      </c>
      <c r="N14" s="44" t="n">
        <v>2545</v>
      </c>
      <c r="O14" s="48" t="n">
        <v>85.9</v>
      </c>
      <c r="P14" s="48" t="n">
        <v>11.9</v>
      </c>
      <c r="Q14" s="3"/>
    </row>
    <row r="15" ht="27" customHeight="1">
      <c r="A15" s="3"/>
      <c r="B15" s="41" t="n">
        <v>2020</v>
      </c>
      <c r="C15" s="49" t="n">
        <v>19</v>
      </c>
      <c r="D15" s="49" t="n">
        <v>19.6</v>
      </c>
      <c r="E15" s="49" t="n">
        <v>73.2</v>
      </c>
      <c r="F15" s="49" t="n">
        <v>81.2</v>
      </c>
      <c r="G15" s="49" t="n">
        <v>24.4</v>
      </c>
      <c r="H15" s="49" t="n">
        <v>16.5</v>
      </c>
      <c r="I15" s="49" t="n">
        <v>18.3</v>
      </c>
      <c r="J15" s="49" t="n">
        <v>19.2</v>
      </c>
      <c r="K15" s="49" t="n">
        <v>0.8</v>
      </c>
      <c r="L15" s="49" t="n">
        <v>0.8</v>
      </c>
      <c r="M15" s="49" t="n">
        <v>6</v>
      </c>
      <c r="N15" s="45" t="n">
        <v>2992</v>
      </c>
      <c r="O15" s="49" t="n">
        <v>85.8</v>
      </c>
      <c r="P15" s="49" t="n">
        <v>12</v>
      </c>
      <c r="Q15" s="3"/>
    </row>
    <row r="16" ht="27" customHeight="1">
      <c r="A16" s="3"/>
      <c r="B16" s="40" t="n">
        <v>2021</v>
      </c>
      <c r="C16" s="48" t="n">
        <v>18.7</v>
      </c>
      <c r="D16" s="48" t="n">
        <v>20</v>
      </c>
      <c r="E16" s="48" t="n">
        <v>71.6</v>
      </c>
      <c r="F16" s="48" t="n">
        <v>79.3</v>
      </c>
      <c r="G16" s="48" t="n">
        <v>26.2</v>
      </c>
      <c r="H16" s="48" t="n">
        <v>18.5</v>
      </c>
      <c r="I16" s="48" t="n">
        <v>17.3</v>
      </c>
      <c r="J16" s="48" t="n">
        <v>18.3</v>
      </c>
      <c r="K16" s="48" t="n">
        <v>0.5</v>
      </c>
      <c r="L16" s="48" t="n">
        <v>0.5</v>
      </c>
      <c r="M16" s="48" t="n">
        <v>6</v>
      </c>
      <c r="N16" s="44" t="n">
        <v>3999</v>
      </c>
      <c r="O16" s="48" t="n">
        <v>85.6</v>
      </c>
      <c r="P16" s="48" t="n">
        <v>12.2</v>
      </c>
      <c r="Q16" s="3"/>
    </row>
    <row r="17" ht="27" customHeight="1">
      <c r="A17" s="3"/>
      <c r="B17" s="41" t="n">
        <v>2022</v>
      </c>
      <c r="C17" s="49" t="n">
        <v>19.8</v>
      </c>
      <c r="D17" s="49" t="n">
        <v>21.1</v>
      </c>
      <c r="E17" s="49" t="n">
        <v>69.2</v>
      </c>
      <c r="F17" s="49" t="n">
        <v>77</v>
      </c>
      <c r="G17" s="49" t="n">
        <v>27.3</v>
      </c>
      <c r="H17" s="49" t="n">
        <v>19.6</v>
      </c>
      <c r="I17" s="49" t="n">
        <v>16.8</v>
      </c>
      <c r="J17" s="49" t="n">
        <v>17.7</v>
      </c>
      <c r="K17" s="49" t="n">
        <v>0.9</v>
      </c>
      <c r="L17" s="49" t="n">
        <v>1</v>
      </c>
      <c r="M17" s="49" t="n">
        <v>5.4</v>
      </c>
      <c r="N17" s="45" t="n">
        <v>4944</v>
      </c>
      <c r="O17" s="49" t="n">
        <v>83.9</v>
      </c>
      <c r="P17" s="49" t="n">
        <v>12.7</v>
      </c>
      <c r="Q17" s="3"/>
    </row>
    <row r="18" ht="27" customHeight="1">
      <c r="A18" s="3"/>
      <c r="B18" s="40" t="n">
        <v>2023</v>
      </c>
      <c r="C18" s="48" t="n">
        <v>18.1</v>
      </c>
      <c r="D18" s="48" t="n">
        <v>20</v>
      </c>
      <c r="E18" s="48" t="n">
        <v>65.2</v>
      </c>
      <c r="F18" s="48" t="n">
        <v>73.2</v>
      </c>
      <c r="G18" s="48" t="n">
        <v>31.9</v>
      </c>
      <c r="H18" s="48" t="n">
        <v>23.9</v>
      </c>
      <c r="I18" s="48" t="n">
        <v>17.6</v>
      </c>
      <c r="J18" s="48" t="n">
        <v>18.9</v>
      </c>
      <c r="K18" s="48" t="n">
        <v>1.9</v>
      </c>
      <c r="L18" s="48" t="n">
        <v>1.9</v>
      </c>
      <c r="M18" s="48" t="n">
        <v>5.2</v>
      </c>
      <c r="N18" s="44" t="n">
        <v>4616</v>
      </c>
      <c r="O18" s="48" t="n">
        <v>82</v>
      </c>
      <c r="P18" s="48" t="n">
        <v>15.1</v>
      </c>
      <c r="Q18" s="3"/>
    </row>
    <row r="19" ht="27" customHeight="1">
      <c r="A19" s="3"/>
      <c r="B19" s="41" t="n">
        <v>2024</v>
      </c>
      <c r="C19" s="49" t="n">
        <v>16.8</v>
      </c>
      <c r="D19" s="49" t="n">
        <v>18.5</v>
      </c>
      <c r="E19" s="49" t="n">
        <v>62.9</v>
      </c>
      <c r="F19" s="49" t="n">
        <v>72.1</v>
      </c>
      <c r="G19" s="49" t="n">
        <v>34.8</v>
      </c>
      <c r="H19" s="49" t="n">
        <v>25.6</v>
      </c>
      <c r="I19" s="49" t="n">
        <v>18.5</v>
      </c>
      <c r="J19" s="49" t="n">
        <v>19.6</v>
      </c>
      <c r="K19" s="49" t="n">
        <v>2.7</v>
      </c>
      <c r="L19" s="49" t="n">
        <v>2.9</v>
      </c>
      <c r="M19" s="49" t="n">
        <v>5</v>
      </c>
      <c r="N19" s="45" t="n">
        <v>4718</v>
      </c>
      <c r="O19" s="49" t="n">
        <v>82.7</v>
      </c>
      <c r="P19" s="49" t="n">
        <v>14.9</v>
      </c>
      <c r="Q19" s="3"/>
    </row>
    <row r="20" ht="27" customHeight="1">
      <c r="A20" s="3"/>
      <c r="B20" s="50" t="n">
        <v>2025</v>
      </c>
      <c r="C20" s="52" t="n">
        <v>16.3</v>
      </c>
      <c r="D20" s="52" t="n">
        <v>18.2</v>
      </c>
      <c r="E20" s="52" t="n">
        <v>58.8</v>
      </c>
      <c r="F20" s="52" t="n">
        <v>68.4</v>
      </c>
      <c r="G20" s="52" t="n">
        <v>37.8</v>
      </c>
      <c r="H20" s="52" t="n">
        <v>28.2</v>
      </c>
      <c r="I20" s="52" t="n">
        <v>18.2</v>
      </c>
      <c r="J20" s="52" t="n">
        <v>19.4</v>
      </c>
      <c r="K20" s="52" t="n">
        <v>3.3</v>
      </c>
      <c r="L20" s="52" t="n">
        <v>4</v>
      </c>
      <c r="M20" s="52" t="n">
        <v>4.4</v>
      </c>
      <c r="N20" s="51" t="n">
        <v>6231</v>
      </c>
      <c r="O20" s="52" t="n">
        <v>80.3</v>
      </c>
      <c r="P20" s="52" t="n">
        <v>16.3</v>
      </c>
      <c r="Q20" s="3"/>
    </row>
    <row r="21" ht="23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23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23" customHeight="1">
      <c r="A23" s="3"/>
      <c r="B23" s="53" t="str">
        <v>Table scope</v>
      </c>
      <c r="C23" s="5"/>
      <c r="D23" s="5"/>
      <c r="E23" s="5"/>
      <c r="F23" s="5"/>
      <c r="G23" s="5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27" customHeight="1">
      <c r="A24" s="3"/>
      <c r="B24" s="12" t="str">
        <v>What travels with the data, by release year and reading depth (Fig. 4c–d)</v>
      </c>
      <c r="C24" s="12"/>
      <c r="D24" s="12"/>
      <c r="E24" s="12"/>
      <c r="F24" s="12"/>
      <c r="G24" s="12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23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23" customHeight="1">
      <c r="A26" s="3"/>
      <c r="B26" s="53" t="str">
        <v>Definition</v>
      </c>
      <c r="C26" s="5"/>
      <c r="D26" s="5"/>
      <c r="E26" s="5"/>
      <c r="F26" s="5"/>
      <c r="G26" s="5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42" customHeight="1">
      <c r="A27" s="3"/>
      <c r="B27" s="12" t="str">
        <v>Percent of datasets. before = top-level file names; after = adding archive members; with_headers = adding table headers.</v>
      </c>
      <c r="C27" s="12"/>
      <c r="D27" s="12"/>
      <c r="E27" s="12"/>
      <c r="F27" s="12"/>
      <c r="G27" s="12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23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23" customHeight="1">
      <c r="A29" s="3"/>
      <c r="B29" s="53" t="str">
        <v>Source</v>
      </c>
      <c r="C29" s="5"/>
      <c r="D29" s="5"/>
      <c r="E29" s="5"/>
      <c r="F29" s="5"/>
      <c r="G29" s="5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27" customHeight="1">
      <c r="A30" s="3"/>
      <c r="B30" s="12" t="str">
        <v>Archive-contents/Before-after-by-year.csv; Header-sniff/Recognisable-by-year-three-ways.csv</v>
      </c>
      <c r="C30" s="12"/>
      <c r="D30" s="12"/>
      <c r="E30" s="12"/>
      <c r="F30" s="12"/>
      <c r="G30" s="12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23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23" customHeight="1">
      <c r="A32" s="3"/>
      <c r="B32" s="53" t="str">
        <v>Original column names</v>
      </c>
      <c r="C32" s="5"/>
      <c r="D32" s="5"/>
      <c r="E32" s="5"/>
      <c r="F32" s="5"/>
      <c r="G32" s="5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57" customHeight="1">
      <c r="A33" s="3"/>
      <c r="B33" s="12" t="str">
        <v>release_year, has_standard_results, standard_after, recognisable_before, recognisable_after, adhoc_only_before, adhoc_only_after, has_sequence_db, fasta_after, has_sample_metadata, sdrf_after, unread_archive, datasets, recognisable_with_headers, adhoc_after_headers</v>
      </c>
      <c r="C33" s="12"/>
      <c r="D33" s="12"/>
      <c r="E33" s="12"/>
      <c r="F33" s="12"/>
      <c r="G33" s="12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23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23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23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23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23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23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23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23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23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23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23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23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</sheetData>
  <mergeCells>
    <mergeCell ref="B2:G2"/>
    <mergeCell ref="B3:G3"/>
    <mergeCell ref="B4:G4"/>
    <mergeCell ref="B23:G23"/>
    <mergeCell ref="B24:G24"/>
    <mergeCell ref="B26:G26"/>
    <mergeCell ref="B27:G27"/>
    <mergeCell ref="B29:G29"/>
    <mergeCell ref="B30:G30"/>
    <mergeCell ref="B32:G32"/>
    <mergeCell ref="B33:G33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8" orientation="landscape" scale="90" useFirstPageNumber="0"/>
  <headerFooter>
    <oddFooter>&amp;LPRIDE supplementary tables&amp;CS13&amp;RPage &amp;P of &amp;N</oddFooter>
  </headerFooter>
  <tableParts count="1">
    <tablePart ns1:id="Re791832050fd4336"/>
  </tableParts>
</worksheet>
</file>

<file path=xl/worksheets/sheet15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2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</row>
    <row r="2" ht="23" customHeight="1">
      <c r="A2" s="3"/>
      <c r="B2" s="5" t="str">
        <v>SUPPLEMENTARY TABLE S14</v>
      </c>
      <c r="C2" s="5"/>
      <c r="D2" s="5"/>
      <c r="E2" s="5"/>
      <c r="F2" s="3"/>
      <c r="G2" s="3"/>
      <c r="H2" s="3"/>
    </row>
    <row r="3" ht="30" customHeight="1">
      <c r="A3" s="3"/>
      <c r="B3" s="7" t="str">
        <v>Documentation across successive deposits</v>
      </c>
      <c r="C3" s="7"/>
      <c r="D3" s="7"/>
      <c r="E3" s="7"/>
      <c r="F3" s="3"/>
      <c r="G3" s="3"/>
      <c r="H3" s="3"/>
    </row>
    <row r="4" ht="36" customHeight="1">
      <c r="A4" s="3"/>
      <c r="B4" s="12" t="str">
        <v>Pairs of successive datasets from the same contributor group. Expected rates match release years.</v>
      </c>
      <c r="C4" s="12"/>
      <c r="D4" s="12"/>
      <c r="E4" s="12"/>
      <c r="F4" s="3"/>
      <c r="G4" s="3"/>
      <c r="H4" s="3"/>
    </row>
    <row r="5" ht="23" customHeight="1">
      <c r="A5" s="3"/>
      <c r="B5" s="28"/>
      <c r="C5" s="28"/>
      <c r="D5" s="28"/>
      <c r="E5" s="28"/>
      <c r="F5" s="3"/>
      <c r="G5" s="3"/>
      <c r="H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</row>
    <row r="7" ht="54" customHeight="1">
      <c r="A7" s="3"/>
      <c r="B7" s="35" t="str">
        <v>Documentation</v>
      </c>
      <c r="C7" s="36" t="str">
        <v>Present in previous dataset</v>
      </c>
      <c r="D7" s="36" t="str">
        <v>Pairs</v>
      </c>
      <c r="E7" s="36" t="str">
        <v>Groups</v>
      </c>
      <c r="F7" s="36" t="str">
        <v>Present in next dataset (%)</v>
      </c>
      <c r="G7" s="37" t="str">
        <v>Expected for same years (%)</v>
      </c>
      <c r="H7" s="3"/>
    </row>
    <row r="8" ht="27" customHeight="1">
      <c r="A8" s="3"/>
      <c r="B8" s="58" t="str">
        <v>doc_readme</v>
      </c>
      <c r="C8" s="97" t="b">
        <v>1</v>
      </c>
      <c r="D8" s="44" t="n">
        <v>308</v>
      </c>
      <c r="E8" s="44" t="n">
        <v>148</v>
      </c>
      <c r="F8" s="48" t="n">
        <v>40.6</v>
      </c>
      <c r="G8" s="48" t="n">
        <v>1.5</v>
      </c>
      <c r="H8" s="3"/>
    </row>
    <row r="9" ht="27" customHeight="1">
      <c r="A9" s="3"/>
      <c r="B9" s="59" t="str">
        <v>doc_readme</v>
      </c>
      <c r="C9" s="98" t="b">
        <v>0</v>
      </c>
      <c r="D9" s="45" t="n">
        <v>22044</v>
      </c>
      <c r="E9" s="45" t="n">
        <v>4735</v>
      </c>
      <c r="F9" s="49" t="n">
        <v>0.9</v>
      </c>
      <c r="G9" s="49" t="n">
        <v>1.4</v>
      </c>
      <c r="H9" s="3"/>
    </row>
    <row r="10" ht="27" customHeight="1">
      <c r="A10" s="3"/>
      <c r="B10" s="58" t="str">
        <v>doc_sdrf</v>
      </c>
      <c r="C10" s="97" t="b">
        <v>1</v>
      </c>
      <c r="D10" s="44" t="n">
        <v>367</v>
      </c>
      <c r="E10" s="44" t="n">
        <v>192</v>
      </c>
      <c r="F10" s="48" t="n">
        <v>43.6</v>
      </c>
      <c r="G10" s="48" t="n">
        <v>2.5</v>
      </c>
      <c r="H10" s="3"/>
    </row>
    <row r="11" ht="27" customHeight="1">
      <c r="A11" s="3"/>
      <c r="B11" s="59" t="str">
        <v>doc_sdrf</v>
      </c>
      <c r="C11" s="98" t="b">
        <v>0</v>
      </c>
      <c r="D11" s="45" t="n">
        <v>21985</v>
      </c>
      <c r="E11" s="45" t="n">
        <v>4724</v>
      </c>
      <c r="F11" s="49" t="n">
        <v>1.2</v>
      </c>
      <c r="G11" s="49" t="n">
        <v>1.9</v>
      </c>
      <c r="H11" s="3"/>
    </row>
    <row r="12" ht="27" customHeight="1">
      <c r="A12" s="3"/>
      <c r="B12" s="58" t="str">
        <v>doc_design_author</v>
      </c>
      <c r="C12" s="97" t="b">
        <v>1</v>
      </c>
      <c r="D12" s="44" t="n">
        <v>1403</v>
      </c>
      <c r="E12" s="44" t="n">
        <v>562</v>
      </c>
      <c r="F12" s="48" t="n">
        <v>44.8</v>
      </c>
      <c r="G12" s="48" t="n">
        <v>7.7</v>
      </c>
      <c r="H12" s="3"/>
    </row>
    <row r="13" ht="27" customHeight="1">
      <c r="A13" s="3"/>
      <c r="B13" s="59" t="str">
        <v>doc_design_author</v>
      </c>
      <c r="C13" s="98" t="b">
        <v>0</v>
      </c>
      <c r="D13" s="45" t="n">
        <v>20949</v>
      </c>
      <c r="E13" s="45" t="n">
        <v>4641</v>
      </c>
      <c r="F13" s="49" t="n">
        <v>4.5</v>
      </c>
      <c r="G13" s="49" t="n">
        <v>7</v>
      </c>
      <c r="H13" s="3"/>
    </row>
    <row r="14" ht="27" customHeight="1">
      <c r="A14" s="3"/>
      <c r="B14" s="58" t="str">
        <v>doc_params</v>
      </c>
      <c r="C14" s="97" t="b">
        <v>1</v>
      </c>
      <c r="D14" s="44" t="n">
        <v>4057</v>
      </c>
      <c r="E14" s="44" t="n">
        <v>1272</v>
      </c>
      <c r="F14" s="48" t="n">
        <v>60.3</v>
      </c>
      <c r="G14" s="48" t="n">
        <v>18.9</v>
      </c>
      <c r="H14" s="3"/>
    </row>
    <row r="15" ht="27" customHeight="1">
      <c r="A15" s="3"/>
      <c r="B15" s="66" t="str">
        <v>doc_params</v>
      </c>
      <c r="C15" s="118" t="b">
        <v>0</v>
      </c>
      <c r="D15" s="68" t="n">
        <v>18295</v>
      </c>
      <c r="E15" s="68" t="n">
        <v>4282</v>
      </c>
      <c r="F15" s="119" t="n">
        <v>9.3</v>
      </c>
      <c r="G15" s="119" t="n">
        <v>18.5</v>
      </c>
      <c r="H15" s="3"/>
    </row>
    <row r="16" ht="23" customHeight="1">
      <c r="A16" s="3"/>
      <c r="B16" s="3"/>
      <c r="C16" s="3"/>
      <c r="D16" s="3"/>
      <c r="E16" s="3"/>
      <c r="F16" s="3"/>
      <c r="G16" s="3"/>
      <c r="H16" s="3"/>
    </row>
    <row r="17" ht="23" customHeight="1">
      <c r="A17" s="3"/>
      <c r="B17" s="3"/>
      <c r="C17" s="3"/>
      <c r="D17" s="3"/>
      <c r="E17" s="3"/>
      <c r="F17" s="3"/>
      <c r="G17" s="3"/>
      <c r="H17" s="3"/>
    </row>
    <row r="18" ht="23" customHeight="1">
      <c r="A18" s="3"/>
      <c r="B18" s="53" t="str">
        <v>Table scope</v>
      </c>
      <c r="C18" s="5"/>
      <c r="D18" s="5"/>
      <c r="E18" s="5"/>
      <c r="F18" s="3"/>
      <c r="G18" s="3"/>
      <c r="H18" s="3"/>
    </row>
    <row r="19" ht="27" customHeight="1">
      <c r="A19" s="3"/>
      <c r="B19" s="12" t="str">
        <v>Documentation persistence within contributor groups (Fig. 4e)</v>
      </c>
      <c r="C19" s="12"/>
      <c r="D19" s="12"/>
      <c r="E19" s="12"/>
      <c r="F19" s="3"/>
      <c r="G19" s="3"/>
      <c r="H19" s="3"/>
    </row>
    <row r="20" ht="23" customHeight="1">
      <c r="A20" s="3"/>
      <c r="B20" s="3"/>
      <c r="C20" s="3"/>
      <c r="D20" s="3"/>
      <c r="E20" s="3"/>
      <c r="F20" s="3"/>
      <c r="G20" s="3"/>
      <c r="H20" s="3"/>
    </row>
    <row r="21" ht="23" customHeight="1">
      <c r="A21" s="3"/>
      <c r="B21" s="53" t="str">
        <v>Definition</v>
      </c>
      <c r="C21" s="5"/>
      <c r="D21" s="5"/>
      <c r="E21" s="5"/>
      <c r="F21" s="3"/>
      <c r="G21" s="3"/>
      <c r="H21" s="3"/>
    </row>
    <row r="22" ht="57" customHeight="1">
      <c r="A22" s="3"/>
      <c r="B22" s="12" t="str">
        <v>Next dataset of the same group carrying the file, by whether the previous dataset did, vs the expected rate for datasets of the same years.</v>
      </c>
      <c r="C22" s="12"/>
      <c r="D22" s="12"/>
      <c r="E22" s="12"/>
      <c r="F22" s="3"/>
      <c r="G22" s="3"/>
      <c r="H22" s="3"/>
    </row>
    <row r="23" ht="23" customHeight="1">
      <c r="A23" s="3"/>
      <c r="B23" s="3"/>
      <c r="C23" s="3"/>
      <c r="D23" s="3"/>
      <c r="E23" s="3"/>
      <c r="F23" s="3"/>
      <c r="G23" s="3"/>
      <c r="H23" s="3"/>
    </row>
    <row r="24" ht="23" customHeight="1">
      <c r="A24" s="3"/>
      <c r="B24" s="53" t="str">
        <v>Source</v>
      </c>
      <c r="C24" s="5"/>
      <c r="D24" s="5"/>
      <c r="E24" s="5"/>
      <c r="F24" s="3"/>
      <c r="G24" s="3"/>
      <c r="H24" s="3"/>
    </row>
    <row r="25" ht="42" customHeight="1">
      <c r="A25" s="3"/>
      <c r="B25" s="12" t="str">
        <v>Arsenal/H5-H6-H8-strategies-software-docs/H8-documentation-persistence-within-groups.csv</v>
      </c>
      <c r="C25" s="12"/>
      <c r="D25" s="12"/>
      <c r="E25" s="12"/>
      <c r="F25" s="3"/>
      <c r="G25" s="3"/>
      <c r="H25" s="3"/>
    </row>
    <row r="26" ht="23" customHeight="1">
      <c r="A26" s="3"/>
      <c r="B26" s="3"/>
      <c r="C26" s="3"/>
      <c r="D26" s="3"/>
      <c r="E26" s="3"/>
      <c r="F26" s="3"/>
      <c r="G26" s="3"/>
      <c r="H26" s="3"/>
    </row>
    <row r="27" ht="23" customHeight="1">
      <c r="A27" s="3"/>
      <c r="B27" s="53" t="str">
        <v>Original column names</v>
      </c>
      <c r="C27" s="5"/>
      <c r="D27" s="5"/>
      <c r="E27" s="5"/>
      <c r="F27" s="3"/>
      <c r="G27" s="3"/>
      <c r="H27" s="3"/>
    </row>
    <row r="28" ht="42" customHeight="1">
      <c r="A28" s="3"/>
      <c r="B28" s="12" t="str">
        <v>documentation, previous_dataset_had_it, pairs, groups, pct_now, pct_expected_same_years</v>
      </c>
      <c r="C28" s="12"/>
      <c r="D28" s="12"/>
      <c r="E28" s="12"/>
      <c r="F28" s="3"/>
      <c r="G28" s="3"/>
      <c r="H28" s="3"/>
    </row>
    <row r="29" ht="23" customHeight="1">
      <c r="A29" s="3"/>
      <c r="B29" s="3"/>
      <c r="C29" s="3"/>
      <c r="D29" s="3"/>
      <c r="E29" s="3"/>
      <c r="F29" s="3"/>
      <c r="G29" s="3"/>
      <c r="H29" s="3"/>
    </row>
    <row r="30" ht="23" customHeight="1">
      <c r="A30" s="3"/>
      <c r="B30" s="3"/>
      <c r="C30" s="3"/>
      <c r="D30" s="3"/>
      <c r="E30" s="3"/>
      <c r="F30" s="3"/>
      <c r="G30" s="3"/>
      <c r="H30" s="3"/>
    </row>
    <row r="31" ht="23" customHeight="1">
      <c r="A31" s="3"/>
      <c r="B31" s="3"/>
      <c r="C31" s="3"/>
      <c r="D31" s="3"/>
      <c r="E31" s="3"/>
      <c r="F31" s="3"/>
      <c r="G31" s="3"/>
      <c r="H31" s="3"/>
    </row>
    <row r="32" ht="23" customHeight="1">
      <c r="A32" s="3"/>
      <c r="B32" s="3"/>
      <c r="C32" s="3"/>
      <c r="D32" s="3"/>
      <c r="E32" s="3"/>
      <c r="F32" s="3"/>
      <c r="G32" s="3"/>
      <c r="H32" s="3"/>
    </row>
    <row r="33" ht="23" customHeight="1">
      <c r="A33" s="3"/>
      <c r="B33" s="3"/>
      <c r="C33" s="3"/>
      <c r="D33" s="3"/>
      <c r="E33" s="3"/>
      <c r="F33" s="3"/>
      <c r="G33" s="3"/>
      <c r="H33" s="3"/>
    </row>
    <row r="34" ht="23" customHeight="1">
      <c r="A34" s="3"/>
      <c r="B34" s="3"/>
      <c r="C34" s="3"/>
      <c r="D34" s="3"/>
      <c r="E34" s="3"/>
      <c r="F34" s="3"/>
      <c r="G34" s="3"/>
      <c r="H34" s="3"/>
    </row>
    <row r="35" ht="23" customHeight="1">
      <c r="A35" s="3"/>
      <c r="B35" s="3"/>
      <c r="C35" s="3"/>
      <c r="D35" s="3"/>
      <c r="E35" s="3"/>
      <c r="F35" s="3"/>
      <c r="G35" s="3"/>
      <c r="H35" s="3"/>
    </row>
    <row r="36" ht="23" customHeight="1">
      <c r="A36" s="3"/>
      <c r="B36" s="3"/>
      <c r="C36" s="3"/>
      <c r="D36" s="3"/>
      <c r="E36" s="3"/>
      <c r="F36" s="3"/>
      <c r="G36" s="3"/>
      <c r="H36" s="3"/>
    </row>
    <row r="37" ht="23" customHeight="1">
      <c r="A37" s="3"/>
      <c r="B37" s="3"/>
      <c r="C37" s="3"/>
      <c r="D37" s="3"/>
      <c r="E37" s="3"/>
      <c r="F37" s="3"/>
      <c r="G37" s="3"/>
      <c r="H37" s="3"/>
    </row>
    <row r="38" ht="23" customHeight="1">
      <c r="A38" s="3"/>
      <c r="B38" s="3"/>
      <c r="C38" s="3"/>
      <c r="D38" s="3"/>
      <c r="E38" s="3"/>
      <c r="F38" s="3"/>
      <c r="G38" s="3"/>
      <c r="H38" s="3"/>
    </row>
    <row r="39" ht="23" customHeight="1">
      <c r="A39" s="3"/>
      <c r="B39" s="3"/>
      <c r="C39" s="3"/>
      <c r="D39" s="3"/>
      <c r="E39" s="3"/>
      <c r="F39" s="3"/>
      <c r="G39" s="3"/>
      <c r="H39" s="3"/>
    </row>
    <row r="40" ht="23" customHeight="1">
      <c r="A40" s="3"/>
      <c r="B40" s="3"/>
      <c r="C40" s="3"/>
      <c r="D40" s="3"/>
      <c r="E40" s="3"/>
      <c r="F40" s="3"/>
      <c r="G40" s="3"/>
      <c r="H40" s="3"/>
    </row>
  </sheetData>
  <mergeCells>
    <mergeCell ref="B2:E2"/>
    <mergeCell ref="B3:E3"/>
    <mergeCell ref="B4:E4"/>
    <mergeCell ref="B18:E18"/>
    <mergeCell ref="B19:E19"/>
    <mergeCell ref="B21:E21"/>
    <mergeCell ref="B22:E22"/>
    <mergeCell ref="B24:E24"/>
    <mergeCell ref="B25:E25"/>
    <mergeCell ref="B27:E27"/>
    <mergeCell ref="B28:E28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9" orientation="landscape" scale="90" useFirstPageNumber="0"/>
  <headerFooter>
    <oddFooter>&amp;LPRIDE supplementary tables&amp;CS14&amp;RPage &amp;P of &amp;N</oddFooter>
  </headerFooter>
  <tableParts count="1">
    <tablePart ns1:id="Rd418388cc8bc42e1"/>
  </tableParts>
</worksheet>
</file>

<file path=xl/worksheets/sheet16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2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ht="23" customHeight="1">
      <c r="A2" s="3"/>
      <c r="B2" s="5" t="str">
        <v>SUPPLEMENTARY TABLE S15</v>
      </c>
      <c r="C2" s="5"/>
      <c r="D2" s="5"/>
      <c r="E2" s="5"/>
      <c r="F2" s="5"/>
      <c r="G2" s="5"/>
      <c r="H2" s="3"/>
      <c r="I2" s="3"/>
      <c r="J2" s="3"/>
    </row>
    <row r="3" ht="30" customHeight="1">
      <c r="A3" s="3"/>
      <c r="B3" s="7" t="str">
        <v>Time between stages of a study</v>
      </c>
      <c r="C3" s="7"/>
      <c r="D3" s="7"/>
      <c r="E3" s="7"/>
      <c r="F3" s="7"/>
      <c r="G3" s="7"/>
      <c r="H3" s="3"/>
      <c r="I3" s="3"/>
      <c r="J3" s="3"/>
    </row>
    <row r="4" ht="36" customHeight="1">
      <c r="A4" s="3"/>
      <c r="B4" s="12" t="str">
        <v>Intervals connect measurement, submission, publication and public release. Software ages are lower bounds.</v>
      </c>
      <c r="C4" s="12"/>
      <c r="D4" s="12"/>
      <c r="E4" s="12"/>
      <c r="F4" s="12"/>
      <c r="G4" s="12"/>
      <c r="H4" s="3"/>
      <c r="I4" s="3"/>
      <c r="J4" s="3"/>
    </row>
    <row r="5" ht="23" customHeight="1">
      <c r="A5" s="3"/>
      <c r="B5" s="28"/>
      <c r="C5" s="28"/>
      <c r="D5" s="28"/>
      <c r="E5" s="28"/>
      <c r="F5" s="28"/>
      <c r="G5" s="28"/>
      <c r="H5" s="3"/>
      <c r="I5" s="3"/>
      <c r="J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  <c r="J6" s="3"/>
    </row>
    <row r="7" ht="54" customHeight="1">
      <c r="A7" s="3"/>
      <c r="B7" s="35" t="str">
        <v>Interval</v>
      </c>
      <c r="C7" s="36" t="str">
        <v>Datasets</v>
      </c>
      <c r="D7" s="36" t="str">
        <v>Groups</v>
      </c>
      <c r="E7" s="36" t="str">
        <v>Median days</v>
      </c>
      <c r="F7" s="36" t="str">
        <v>Median interval (years)</v>
      </c>
      <c r="G7" s="36" t="str">
        <v>95% interval (years)</v>
      </c>
      <c r="H7" s="36" t="str">
        <v>Interval &gt;1 year (%)</v>
      </c>
      <c r="I7" s="37" t="str">
        <v>Interval &gt;2 years (%)</v>
      </c>
      <c r="J7" s="3"/>
    </row>
    <row r="8" ht="27" customHeight="1">
      <c r="A8" s="3"/>
      <c r="B8" s="58" t="str">
        <v>acq_to_sub</v>
      </c>
      <c r="C8" s="44" t="n">
        <v>11868</v>
      </c>
      <c r="D8" s="44" t="n">
        <v>4932</v>
      </c>
      <c r="E8" s="62" t="n">
        <v>492</v>
      </c>
      <c r="F8" s="62" t="n">
        <v>1.35</v>
      </c>
      <c r="G8" s="58" t="str">
        <v>[1.29, 1.39]</v>
      </c>
      <c r="H8" s="80" t="n">
        <v>0.601</v>
      </c>
      <c r="I8" s="80" t="n">
        <v>0.338</v>
      </c>
      <c r="J8" s="3"/>
    </row>
    <row r="9" ht="27" customHeight="1">
      <c r="A9" s="3"/>
      <c r="B9" s="59" t="str">
        <v>acq_to_rel</v>
      </c>
      <c r="C9" s="45" t="n">
        <v>11868</v>
      </c>
      <c r="D9" s="45" t="n">
        <v>4932</v>
      </c>
      <c r="E9" s="63" t="n">
        <v>801.5</v>
      </c>
      <c r="F9" s="63" t="n">
        <v>2.19</v>
      </c>
      <c r="G9" s="59" t="str">
        <v>[2.14, 2.26]</v>
      </c>
      <c r="H9" s="81" t="n">
        <v>0.819</v>
      </c>
      <c r="I9" s="81" t="n">
        <v>0.55</v>
      </c>
      <c r="J9" s="3"/>
    </row>
    <row r="10" ht="27" customHeight="1">
      <c r="A10" s="3"/>
      <c r="B10" s="58" t="str">
        <v>db_to_sub</v>
      </c>
      <c r="C10" s="44" t="n">
        <v>2558</v>
      </c>
      <c r="D10" s="44" t="n">
        <v>1305</v>
      </c>
      <c r="E10" s="62" t="n">
        <v>609</v>
      </c>
      <c r="F10" s="62" t="n">
        <v>1.67</v>
      </c>
      <c r="G10" s="58" t="str">
        <v>[1.58, 1.8]</v>
      </c>
      <c r="H10" s="80" t="n">
        <v>0.695</v>
      </c>
      <c r="I10" s="80" t="n">
        <v>0.422</v>
      </c>
      <c r="J10" s="3"/>
    </row>
    <row r="11" ht="27" customHeight="1">
      <c r="A11" s="3"/>
      <c r="B11" s="59" t="str">
        <v>db_to_rel</v>
      </c>
      <c r="C11" s="45" t="n">
        <v>2558</v>
      </c>
      <c r="D11" s="45" t="n">
        <v>1305</v>
      </c>
      <c r="E11" s="63" t="n">
        <v>906</v>
      </c>
      <c r="F11" s="63" t="n">
        <v>2.48</v>
      </c>
      <c r="G11" s="59" t="str">
        <v>[2.37, 2.6]</v>
      </c>
      <c r="H11" s="81" t="n">
        <v>0.872</v>
      </c>
      <c r="I11" s="81" t="n">
        <v>0.613</v>
      </c>
      <c r="J11" s="3"/>
    </row>
    <row r="12" ht="27" customHeight="1">
      <c r="A12" s="3"/>
      <c r="B12" s="58" t="str">
        <v>sw_to_sub</v>
      </c>
      <c r="C12" s="44" t="n">
        <v>10466</v>
      </c>
      <c r="D12" s="44" t="n">
        <v>4394</v>
      </c>
      <c r="E12" s="62" t="n">
        <v>909.5</v>
      </c>
      <c r="F12" s="62" t="n">
        <v>2.49</v>
      </c>
      <c r="G12" s="58" t="str">
        <v>[2.41, 2.61]</v>
      </c>
      <c r="H12" s="80" t="n">
        <v>0.822</v>
      </c>
      <c r="I12" s="80" t="n">
        <v>0.606</v>
      </c>
      <c r="J12" s="3"/>
    </row>
    <row r="13" ht="27" customHeight="1">
      <c r="A13" s="3"/>
      <c r="B13" s="59" t="str">
        <v>sw_to_rel</v>
      </c>
      <c r="C13" s="45" t="n">
        <v>10466</v>
      </c>
      <c r="D13" s="45" t="n">
        <v>4394</v>
      </c>
      <c r="E13" s="63" t="n">
        <v>1234.5</v>
      </c>
      <c r="F13" s="63" t="n">
        <v>3.38</v>
      </c>
      <c r="G13" s="59" t="str">
        <v>[3.28, 3.48]</v>
      </c>
      <c r="H13" s="81" t="n">
        <v>0.928</v>
      </c>
      <c r="I13" s="81" t="n">
        <v>0.759</v>
      </c>
      <c r="J13" s="3"/>
    </row>
    <row r="14" ht="27" customHeight="1">
      <c r="A14" s="3"/>
      <c r="B14" s="58" t="str">
        <v>sub_to_paper</v>
      </c>
      <c r="C14" s="44" t="n">
        <v>27035</v>
      </c>
      <c r="D14" s="44" t="n">
        <v>11065</v>
      </c>
      <c r="E14" s="62" t="n">
        <v>141</v>
      </c>
      <c r="F14" s="62" t="n">
        <v>0.39</v>
      </c>
      <c r="G14" s="58" t="str">
        <v>[0.38, 0.39]</v>
      </c>
      <c r="H14" s="80" t="n">
        <v>0.157</v>
      </c>
      <c r="I14" s="80" t="n">
        <v>0.036</v>
      </c>
      <c r="J14" s="3"/>
    </row>
    <row r="15" ht="27" customHeight="1">
      <c r="A15" s="3"/>
      <c r="B15" s="59" t="str">
        <v>paper_to_rel</v>
      </c>
      <c r="C15" s="45" t="n">
        <v>27001</v>
      </c>
      <c r="D15" s="45" t="n">
        <v>11044</v>
      </c>
      <c r="E15" s="63" t="n">
        <v>25</v>
      </c>
      <c r="F15" s="63" t="n">
        <v>0.07</v>
      </c>
      <c r="G15" s="59" t="str">
        <v>[0.06, 0.07]</v>
      </c>
      <c r="H15" s="81" t="n">
        <v>0.093</v>
      </c>
      <c r="I15" s="81" t="n">
        <v>0.039</v>
      </c>
      <c r="J15" s="3"/>
    </row>
    <row r="16" ht="27" customHeight="1">
      <c r="A16" s="3"/>
      <c r="B16" s="76" t="str">
        <v>sub_to_rel</v>
      </c>
      <c r="C16" s="51" t="n">
        <v>36209</v>
      </c>
      <c r="D16" s="51" t="n">
        <v>13876</v>
      </c>
      <c r="E16" s="86" t="n">
        <v>200</v>
      </c>
      <c r="F16" s="86" t="n">
        <v>0.55</v>
      </c>
      <c r="G16" s="76" t="str">
        <v>[0.54, 0.56]</v>
      </c>
      <c r="H16" s="88" t="n">
        <v>0.261</v>
      </c>
      <c r="I16" s="88" t="n">
        <v>0.082</v>
      </c>
      <c r="J16" s="3"/>
    </row>
    <row r="17" ht="23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23" customHeight="1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ht="23" customHeight="1">
      <c r="A19" s="3"/>
      <c r="B19" s="53" t="str">
        <v>Table scope</v>
      </c>
      <c r="C19" s="5"/>
      <c r="D19" s="5"/>
      <c r="E19" s="5"/>
      <c r="F19" s="5"/>
      <c r="G19" s="5"/>
      <c r="H19" s="3"/>
      <c r="I19" s="3"/>
      <c r="J19" s="3"/>
    </row>
    <row r="20" ht="27" customHeight="1">
      <c r="A20" s="3"/>
      <c r="B20" s="12" t="str">
        <v>Clocks of a deposit: medians with 95% group-bootstrap intervals (Fig. 5a)</v>
      </c>
      <c r="C20" s="12"/>
      <c r="D20" s="12"/>
      <c r="E20" s="12"/>
      <c r="F20" s="12"/>
      <c r="G20" s="12"/>
      <c r="H20" s="3"/>
      <c r="I20" s="3"/>
      <c r="J20" s="3"/>
    </row>
    <row r="21" ht="23" customHeigh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23" customHeight="1">
      <c r="A22" s="3"/>
      <c r="B22" s="53" t="str">
        <v>Definition</v>
      </c>
      <c r="C22" s="5"/>
      <c r="D22" s="5"/>
      <c r="E22" s="5"/>
      <c r="F22" s="5"/>
      <c r="G22" s="5"/>
      <c r="H22" s="3"/>
      <c r="I22" s="3"/>
      <c r="J22" s="3"/>
    </row>
    <row r="23" ht="57" customHeight="1">
      <c r="A23" s="3"/>
      <c r="B23" s="12" t="str">
        <v>acq = latest acquisition date in raw file names; db = date in the main FASTA name; sw = first PRIDE submission recording the software release (lower bound); sub = submission; rel = public release; paper = OpenAlex publication date.</v>
      </c>
      <c r="C23" s="12"/>
      <c r="D23" s="12"/>
      <c r="E23" s="12"/>
      <c r="F23" s="12"/>
      <c r="G23" s="12"/>
      <c r="H23" s="3"/>
      <c r="I23" s="3"/>
      <c r="J23" s="3"/>
    </row>
    <row r="24" ht="23" customHeight="1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ht="23" customHeight="1">
      <c r="A25" s="3"/>
      <c r="B25" s="53" t="str">
        <v>Source</v>
      </c>
      <c r="C25" s="5"/>
      <c r="D25" s="5"/>
      <c r="E25" s="5"/>
      <c r="F25" s="5"/>
      <c r="G25" s="5"/>
      <c r="H25" s="3"/>
      <c r="I25" s="3"/>
      <c r="J25" s="3"/>
    </row>
    <row r="26" ht="27" customHeight="1">
      <c r="A26" s="3"/>
      <c r="B26" s="12" t="str">
        <v>Arsenal/H11-clocks/Summary.json</v>
      </c>
      <c r="C26" s="12"/>
      <c r="D26" s="12"/>
      <c r="E26" s="12"/>
      <c r="F26" s="12"/>
      <c r="G26" s="12"/>
      <c r="H26" s="3"/>
      <c r="I26" s="3"/>
      <c r="J26" s="3"/>
    </row>
    <row r="27" ht="23" customHeigh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23" customHeight="1">
      <c r="A28" s="3"/>
      <c r="B28" s="53" t="str">
        <v>Original column names</v>
      </c>
      <c r="C28" s="5"/>
      <c r="D28" s="5"/>
      <c r="E28" s="5"/>
      <c r="F28" s="5"/>
      <c r="G28" s="5"/>
      <c r="H28" s="3"/>
      <c r="I28" s="3"/>
      <c r="J28" s="3"/>
    </row>
    <row r="29" ht="27" customHeight="1">
      <c r="A29" s="3"/>
      <c r="B29" s="12" t="str">
        <v>interval, datasets, groups, median_days, median_years, ci_years, share_gt_1y, share_gt_2y</v>
      </c>
      <c r="C29" s="12"/>
      <c r="D29" s="12"/>
      <c r="E29" s="12"/>
      <c r="F29" s="12"/>
      <c r="G29" s="12"/>
      <c r="H29" s="3"/>
      <c r="I29" s="3"/>
      <c r="J29" s="3"/>
    </row>
    <row r="30" ht="23" customHeight="1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ht="23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23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23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23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23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23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23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23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23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23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23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</sheetData>
  <mergeCells>
    <mergeCell ref="B2:G2"/>
    <mergeCell ref="B3:G3"/>
    <mergeCell ref="B4:G4"/>
    <mergeCell ref="B19:G19"/>
    <mergeCell ref="B20:G20"/>
    <mergeCell ref="B22:G22"/>
    <mergeCell ref="B23:G23"/>
    <mergeCell ref="B25:G25"/>
    <mergeCell ref="B26:G26"/>
    <mergeCell ref="B28:G28"/>
    <mergeCell ref="B29:G29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9" orientation="landscape" scale="90" useFirstPageNumber="0"/>
  <headerFooter>
    <oddFooter>&amp;LPRIDE supplementary tables&amp;CS15&amp;RPage &amp;P of &amp;N</oddFooter>
  </headerFooter>
  <tableParts count="1">
    <tablePart ns1:id="Ra4a5b576152c4c34"/>
  </tableParts>
</worksheet>
</file>

<file path=xl/worksheets/sheet17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5" hidden="0" customWidth="1"/>
    <col min="13" max="13" width="15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3" customHeight="1">
      <c r="A2" s="3"/>
      <c r="B2" s="5" t="str">
        <v>SUPPLEMENTARY TABLE S16</v>
      </c>
      <c r="C2" s="5"/>
      <c r="D2" s="5"/>
      <c r="E2" s="5"/>
      <c r="F2" s="5"/>
      <c r="G2" s="5"/>
      <c r="H2" s="3"/>
      <c r="I2" s="3"/>
      <c r="J2" s="3"/>
      <c r="K2" s="3"/>
      <c r="L2" s="3"/>
      <c r="M2" s="3"/>
      <c r="N2" s="3"/>
    </row>
    <row r="3" ht="30" customHeight="1">
      <c r="A3" s="3"/>
      <c r="B3" s="7" t="str">
        <v>Public release relative to publication</v>
      </c>
      <c r="C3" s="7"/>
      <c r="D3" s="7"/>
      <c r="E3" s="7"/>
      <c r="F3" s="7"/>
      <c r="G3" s="7"/>
      <c r="H3" s="3"/>
      <c r="I3" s="3"/>
      <c r="J3" s="3"/>
      <c r="K3" s="3"/>
      <c r="L3" s="3"/>
      <c r="M3" s="3"/>
      <c r="N3" s="3"/>
    </row>
    <row r="4" ht="29" customHeight="1">
      <c r="A4" s="3"/>
      <c r="B4" s="12" t="str">
        <v>Days from publication to public release. Negative values indicate release before publication.</v>
      </c>
      <c r="C4" s="12"/>
      <c r="D4" s="12"/>
      <c r="E4" s="12"/>
      <c r="F4" s="12"/>
      <c r="G4" s="12"/>
      <c r="H4" s="3"/>
      <c r="I4" s="3"/>
      <c r="J4" s="3"/>
      <c r="K4" s="3"/>
      <c r="L4" s="3"/>
      <c r="M4" s="3"/>
      <c r="N4" s="3"/>
    </row>
    <row r="5" ht="23" customHeight="1">
      <c r="A5" s="3"/>
      <c r="B5" s="28"/>
      <c r="C5" s="28"/>
      <c r="D5" s="28"/>
      <c r="E5" s="28"/>
      <c r="F5" s="28"/>
      <c r="G5" s="28"/>
      <c r="H5" s="3"/>
      <c r="I5" s="3"/>
      <c r="J5" s="3"/>
      <c r="K5" s="3"/>
      <c r="L5" s="3"/>
      <c r="M5" s="3"/>
      <c r="N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54" customHeight="1">
      <c r="A7" s="3"/>
      <c r="B7" s="35" t="str">
        <v>Release-day group</v>
      </c>
      <c r="C7" s="36" t="str">
        <v>Datasets</v>
      </c>
      <c r="D7" s="36" t="str">
        <v>Groups</v>
      </c>
      <c r="E7" s="36" t="str">
        <v>Median interval (days)</v>
      </c>
      <c r="F7" s="36" t="str">
        <v>Lower 95% (days)</v>
      </c>
      <c r="G7" s="36" t="str">
        <v>Upper 95% (days)</v>
      </c>
      <c r="H7" s="36" t="str">
        <v>Released &gt;30 days later (%)</v>
      </c>
      <c r="I7" s="36" t="str">
        <v>&gt;30 days, lower 95% (%)</v>
      </c>
      <c r="J7" s="36" t="str">
        <v>&gt;30 days, upper 95% (%)</v>
      </c>
      <c r="K7" s="36" t="str">
        <v>Released within ±30 days (%)</v>
      </c>
      <c r="L7" s="36" t="str">
        <v>Within 30 days, lower 95% (%)</v>
      </c>
      <c r="M7" s="37" t="str">
        <v>Within 30 days, upper 95% (%)</v>
      </c>
      <c r="N7" s="3"/>
    </row>
    <row r="8" ht="27" customHeight="1">
      <c r="A8" s="3"/>
      <c r="B8" s="58" t="str">
        <v>bulk</v>
      </c>
      <c r="C8" s="44" t="n">
        <v>7675</v>
      </c>
      <c r="D8" s="44" t="n">
        <v>4662</v>
      </c>
      <c r="E8" s="44" t="n">
        <v>95</v>
      </c>
      <c r="F8" s="84" t="n">
        <v>91</v>
      </c>
      <c r="G8" s="84" t="n">
        <v>100</v>
      </c>
      <c r="H8" s="80" t="n">
        <v>0.8317</v>
      </c>
      <c r="I8" s="82" t="n">
        <v>0.8143</v>
      </c>
      <c r="J8" s="82" t="n">
        <v>0.8454</v>
      </c>
      <c r="K8" s="80" t="n">
        <v>0.1644</v>
      </c>
      <c r="L8" s="82" t="n">
        <v>0.1508</v>
      </c>
      <c r="M8" s="82" t="n">
        <v>0.1812</v>
      </c>
      <c r="N8" s="3"/>
    </row>
    <row r="9" ht="27" customHeight="1">
      <c r="A9" s="3"/>
      <c r="B9" s="59" t="str">
        <v>other</v>
      </c>
      <c r="C9" s="45" t="n">
        <v>15600</v>
      </c>
      <c r="D9" s="45" t="n">
        <v>6889</v>
      </c>
      <c r="E9" s="45" t="n">
        <v>11</v>
      </c>
      <c r="F9" s="85" t="n">
        <v>10</v>
      </c>
      <c r="G9" s="85" t="n">
        <v>12</v>
      </c>
      <c r="H9" s="81" t="n">
        <v>0.3285</v>
      </c>
      <c r="I9" s="83" t="n">
        <v>0.3185</v>
      </c>
      <c r="J9" s="83" t="n">
        <v>0.3389</v>
      </c>
      <c r="K9" s="81" t="n">
        <v>0.6156</v>
      </c>
      <c r="L9" s="83" t="n">
        <v>0.6055</v>
      </c>
      <c r="M9" s="83" t="n">
        <v>0.6256</v>
      </c>
      <c r="N9" s="3"/>
    </row>
    <row r="10" ht="39" customHeight="1">
      <c r="A10" s="3"/>
      <c r="B10" s="76" t="str">
        <v>other_all_years</v>
      </c>
      <c r="C10" s="51" t="n">
        <v>19326</v>
      </c>
      <c r="D10" s="51" t="n">
        <v>8031</v>
      </c>
      <c r="E10" s="51" t="n">
        <v>11</v>
      </c>
      <c r="F10" s="90" t="n">
        <v>10</v>
      </c>
      <c r="G10" s="90" t="n">
        <v>11</v>
      </c>
      <c r="H10" s="88" t="n">
        <v>0.3233</v>
      </c>
      <c r="I10" s="89" t="n">
        <v>0.3144</v>
      </c>
      <c r="J10" s="89" t="n">
        <v>0.3328</v>
      </c>
      <c r="K10" s="88" t="n">
        <v>0.6237</v>
      </c>
      <c r="L10" s="89" t="n">
        <v>0.6146</v>
      </c>
      <c r="M10" s="89" t="n">
        <v>0.6329</v>
      </c>
      <c r="N10" s="3"/>
    </row>
    <row r="11" ht="23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3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23" customHeight="1">
      <c r="A13" s="3"/>
      <c r="B13" s="53" t="str">
        <v>Table scope</v>
      </c>
      <c r="C13" s="5"/>
      <c r="D13" s="5"/>
      <c r="E13" s="5"/>
      <c r="F13" s="5"/>
      <c r="G13" s="5"/>
      <c r="H13" s="3"/>
      <c r="I13" s="3"/>
      <c r="J13" s="3"/>
      <c r="K13" s="3"/>
      <c r="L13" s="3"/>
      <c r="M13" s="3"/>
      <c r="N13" s="3"/>
    </row>
    <row r="14" ht="27" customHeight="1">
      <c r="A14" s="3"/>
      <c r="B14" s="12" t="str">
        <v>Release relative to the linked paper, bulk release days vs other days (Supplementary Fig. 13)</v>
      </c>
      <c r="C14" s="12"/>
      <c r="D14" s="12"/>
      <c r="E14" s="12"/>
      <c r="F14" s="12"/>
      <c r="G14" s="12"/>
      <c r="H14" s="3"/>
      <c r="I14" s="3"/>
      <c r="J14" s="3"/>
      <c r="K14" s="3"/>
      <c r="L14" s="3"/>
      <c r="M14" s="3"/>
      <c r="N14" s="3"/>
    </row>
    <row r="15" ht="23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23" customHeight="1">
      <c r="A16" s="3"/>
      <c r="B16" s="53" t="str">
        <v>Source</v>
      </c>
      <c r="C16" s="5"/>
      <c r="D16" s="5"/>
      <c r="E16" s="5"/>
      <c r="F16" s="5"/>
      <c r="G16" s="5"/>
      <c r="H16" s="3"/>
      <c r="I16" s="3"/>
      <c r="J16" s="3"/>
      <c r="K16" s="3"/>
      <c r="L16" s="3"/>
      <c r="M16" s="3"/>
      <c r="N16" s="3"/>
    </row>
    <row r="17" ht="27" customHeight="1">
      <c r="A17" s="3"/>
      <c r="B17" s="12" t="str">
        <v>Gallery/data/41-paper-and-release-summary.csv</v>
      </c>
      <c r="C17" s="12"/>
      <c r="D17" s="12"/>
      <c r="E17" s="12"/>
      <c r="F17" s="12"/>
      <c r="G17" s="12"/>
      <c r="H17" s="3"/>
      <c r="I17" s="3"/>
      <c r="J17" s="3"/>
      <c r="K17" s="3"/>
      <c r="L17" s="3"/>
      <c r="M17" s="3"/>
      <c r="N17" s="3"/>
    </row>
    <row r="18" ht="23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23" customHeight="1">
      <c r="A19" s="3"/>
      <c r="B19" s="53" t="str">
        <v>Original column names</v>
      </c>
      <c r="C19" s="5"/>
      <c r="D19" s="5"/>
      <c r="E19" s="5"/>
      <c r="F19" s="5"/>
      <c r="G19" s="5"/>
      <c r="H19" s="3"/>
      <c r="I19" s="3"/>
      <c r="J19" s="3"/>
      <c r="K19" s="3"/>
      <c r="L19" s="3"/>
      <c r="M19" s="3"/>
      <c r="N19" s="3"/>
    </row>
    <row r="20" ht="42" customHeight="1">
      <c r="A20" s="3"/>
      <c r="B20" s="12" t="str">
        <v>Unnamed: 0, n, groups, median, lo, hi, after30, after_lo, after_hi, within30, within_lo, within_hi</v>
      </c>
      <c r="C20" s="12"/>
      <c r="D20" s="12"/>
      <c r="E20" s="12"/>
      <c r="F20" s="12"/>
      <c r="G20" s="12"/>
      <c r="H20" s="3"/>
      <c r="I20" s="3"/>
      <c r="J20" s="3"/>
      <c r="K20" s="3"/>
      <c r="L20" s="3"/>
      <c r="M20" s="3"/>
      <c r="N20" s="3"/>
    </row>
    <row r="21" ht="23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23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23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23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23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23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23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23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23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23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23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23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23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23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23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</sheetData>
  <mergeCells>
    <mergeCell ref="B2:G2"/>
    <mergeCell ref="B3:G3"/>
    <mergeCell ref="B4:G4"/>
    <mergeCell ref="B13:G13"/>
    <mergeCell ref="B14:G14"/>
    <mergeCell ref="B16:G16"/>
    <mergeCell ref="B17:G17"/>
    <mergeCell ref="B19:G19"/>
    <mergeCell ref="B20:G20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8" orientation="landscape" scale="90" useFirstPageNumber="0"/>
  <headerFooter>
    <oddFooter>&amp;LPRIDE supplementary tables&amp;CS16&amp;RPage &amp;P of &amp;N</oddFooter>
  </headerFooter>
  <tableParts count="1">
    <tablePart ns1:id="R599a8289fa3f4e8e"/>
  </tableParts>
</worksheet>
</file>

<file path=xl/worksheets/sheet18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43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23" customHeight="1">
      <c r="A2" s="3"/>
      <c r="B2" s="5" t="str">
        <v>SUPPLEMENTARY TABLE S17</v>
      </c>
      <c r="C2" s="5"/>
      <c r="D2" s="5"/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30" customHeight="1">
      <c r="A3" s="3"/>
      <c r="B3" s="7" t="str">
        <v>Journals publishing PRIDE-linked papers</v>
      </c>
      <c r="C3" s="7"/>
      <c r="D3" s="7"/>
      <c r="E3" s="7"/>
      <c r="F3" s="7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29" customHeight="1">
      <c r="A4" s="3"/>
      <c r="B4" s="12" t="str">
        <v>The leading 15 journals. Annual shares count each linked paper once.</v>
      </c>
      <c r="C4" s="12"/>
      <c r="D4" s="12"/>
      <c r="E4" s="12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23" customHeight="1">
      <c r="A5" s="3"/>
      <c r="B5" s="28"/>
      <c r="C5" s="28"/>
      <c r="D5" s="28"/>
      <c r="E5" s="28"/>
      <c r="F5" s="28"/>
      <c r="G5" s="2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ht="54" customHeight="1">
      <c r="A7" s="3"/>
      <c r="B7" s="35" t="str">
        <v>Journal</v>
      </c>
      <c r="C7" s="36" t="str">
        <v>Linked datasets</v>
      </c>
      <c r="D7" s="36" t="str">
        <v>Linked papers</v>
      </c>
      <c r="E7" s="36" t="str">
        <v>2013 (%)</v>
      </c>
      <c r="F7" s="36" t="str">
        <v>2014 (%)</v>
      </c>
      <c r="G7" s="36" t="str">
        <v>2015 (%)</v>
      </c>
      <c r="H7" s="36" t="str">
        <v>2016 (%)</v>
      </c>
      <c r="I7" s="36" t="str">
        <v>2017 (%)</v>
      </c>
      <c r="J7" s="36" t="str">
        <v>2018 (%)</v>
      </c>
      <c r="K7" s="36" t="str">
        <v>2019 (%)</v>
      </c>
      <c r="L7" s="36" t="str">
        <v>2020 (%)</v>
      </c>
      <c r="M7" s="36" t="str">
        <v>2021 (%)</v>
      </c>
      <c r="N7" s="36" t="str">
        <v>2022 (%)</v>
      </c>
      <c r="O7" s="36" t="str">
        <v>2023 (%)</v>
      </c>
      <c r="P7" s="36" t="str">
        <v>2024 (%)</v>
      </c>
      <c r="Q7" s="36" t="str">
        <v>2025 (%)</v>
      </c>
      <c r="R7" s="37" t="str">
        <v>Proteomics in journal title</v>
      </c>
      <c r="S7" s="3"/>
    </row>
    <row r="8" ht="27" customHeight="1">
      <c r="A8" s="3"/>
      <c r="B8" s="58" t="str">
        <v>Nature Communications</v>
      </c>
      <c r="C8" s="44" t="n">
        <v>1966</v>
      </c>
      <c r="D8" s="44" t="n">
        <v>1585</v>
      </c>
      <c r="E8" s="80" t="n">
        <v>0.01786</v>
      </c>
      <c r="F8" s="80" t="n">
        <v>0.03024</v>
      </c>
      <c r="G8" s="80" t="n">
        <v>0.02732</v>
      </c>
      <c r="H8" s="80" t="n">
        <v>0.04425</v>
      </c>
      <c r="I8" s="80" t="n">
        <v>0.05126</v>
      </c>
      <c r="J8" s="80" t="n">
        <v>0.07386</v>
      </c>
      <c r="K8" s="80" t="n">
        <v>0.07648</v>
      </c>
      <c r="L8" s="80" t="n">
        <v>0.08741</v>
      </c>
      <c r="M8" s="80" t="n">
        <v>0.07161</v>
      </c>
      <c r="N8" s="80" t="n">
        <v>0.07015</v>
      </c>
      <c r="O8" s="80" t="n">
        <v>0.0834</v>
      </c>
      <c r="P8" s="80" t="n">
        <v>0.06656</v>
      </c>
      <c r="Q8" s="80" t="n">
        <v>0.08411</v>
      </c>
      <c r="R8" s="97" t="b">
        <v>0</v>
      </c>
      <c r="S8" s="3"/>
    </row>
    <row r="9" ht="27" customHeight="1">
      <c r="A9" s="3"/>
      <c r="B9" s="59" t="str">
        <v>Journal of Proteome Research</v>
      </c>
      <c r="C9" s="45" t="n">
        <v>1420</v>
      </c>
      <c r="D9" s="45" t="n">
        <v>1229</v>
      </c>
      <c r="E9" s="81" t="n">
        <v>0.16786</v>
      </c>
      <c r="F9" s="81" t="n">
        <v>0.13911</v>
      </c>
      <c r="G9" s="81" t="n">
        <v>0.09016</v>
      </c>
      <c r="H9" s="81" t="n">
        <v>0.10128</v>
      </c>
      <c r="I9" s="81" t="n">
        <v>0.08055</v>
      </c>
      <c r="J9" s="81" t="n">
        <v>0.08586</v>
      </c>
      <c r="K9" s="81" t="n">
        <v>0.06556</v>
      </c>
      <c r="L9" s="81" t="n">
        <v>0.05842</v>
      </c>
      <c r="M9" s="81" t="n">
        <v>0.04974</v>
      </c>
      <c r="N9" s="81" t="n">
        <v>0.02813</v>
      </c>
      <c r="O9" s="81" t="n">
        <v>0.02681</v>
      </c>
      <c r="P9" s="81" t="n">
        <v>0.03698</v>
      </c>
      <c r="Q9" s="81" t="n">
        <v>0.03411</v>
      </c>
      <c r="R9" s="98" t="b">
        <v>1</v>
      </c>
      <c r="S9" s="3"/>
    </row>
    <row r="10" ht="27" customHeight="1">
      <c r="A10" s="3"/>
      <c r="B10" s="58" t="str">
        <v>Molecular &amp; Cellular Proteomics</v>
      </c>
      <c r="C10" s="44" t="n">
        <v>1393</v>
      </c>
      <c r="D10" s="44" t="n">
        <v>1088</v>
      </c>
      <c r="E10" s="80" t="n">
        <v>0.15714</v>
      </c>
      <c r="F10" s="80" t="n">
        <v>0.17944</v>
      </c>
      <c r="G10" s="80" t="n">
        <v>0.14754</v>
      </c>
      <c r="H10" s="80" t="n">
        <v>0.11898</v>
      </c>
      <c r="I10" s="80" t="n">
        <v>0.09032</v>
      </c>
      <c r="J10" s="80" t="n">
        <v>0.06818</v>
      </c>
      <c r="K10" s="80" t="n">
        <v>0.05463</v>
      </c>
      <c r="L10" s="80" t="n">
        <v>0.03505</v>
      </c>
      <c r="M10" s="80" t="n">
        <v>0.0223</v>
      </c>
      <c r="N10" s="80" t="n">
        <v>0.01863</v>
      </c>
      <c r="O10" s="80" t="n">
        <v>0.02494</v>
      </c>
      <c r="P10" s="80" t="n">
        <v>0.0253</v>
      </c>
      <c r="Q10" s="80" t="n">
        <v>0.03333</v>
      </c>
      <c r="R10" s="97" t="b">
        <v>1</v>
      </c>
      <c r="S10" s="3"/>
    </row>
    <row r="11" ht="27" customHeight="1">
      <c r="A11" s="3"/>
      <c r="B11" s="59" t="str">
        <v>Scientific Reports</v>
      </c>
      <c r="C11" s="45" t="n">
        <v>897</v>
      </c>
      <c r="D11" s="45" t="n">
        <v>828</v>
      </c>
      <c r="E11" s="81" t="n">
        <v>0.00357</v>
      </c>
      <c r="F11" s="81" t="n">
        <v>0.00403</v>
      </c>
      <c r="G11" s="81" t="n">
        <v>0.02459</v>
      </c>
      <c r="H11" s="81" t="n">
        <v>0.0708</v>
      </c>
      <c r="I11" s="81" t="n">
        <v>0.07893</v>
      </c>
      <c r="J11" s="81" t="n">
        <v>0.0404</v>
      </c>
      <c r="K11" s="81" t="n">
        <v>0.04943</v>
      </c>
      <c r="L11" s="81" t="n">
        <v>0.03678</v>
      </c>
      <c r="M11" s="81" t="n">
        <v>0.03259</v>
      </c>
      <c r="N11" s="81" t="n">
        <v>0.02959</v>
      </c>
      <c r="O11" s="81" t="n">
        <v>0.02457</v>
      </c>
      <c r="P11" s="81" t="n">
        <v>0.03075</v>
      </c>
      <c r="Q11" s="81" t="n">
        <v>0.03566</v>
      </c>
      <c r="R11" s="98" t="b">
        <v>0</v>
      </c>
      <c r="S11" s="3"/>
    </row>
    <row r="12" ht="27" customHeight="1">
      <c r="A12" s="3"/>
      <c r="B12" s="58" t="str">
        <v>Int. J. Molecular Sciences</v>
      </c>
      <c r="C12" s="44" t="n">
        <v>638</v>
      </c>
      <c r="D12" s="44" t="n">
        <v>587</v>
      </c>
      <c r="E12" s="80" t="n">
        <v>0</v>
      </c>
      <c r="F12" s="80" t="n">
        <v>0</v>
      </c>
      <c r="G12" s="80" t="n">
        <v>0</v>
      </c>
      <c r="H12" s="80" t="n">
        <v>0.0059</v>
      </c>
      <c r="I12" s="80" t="n">
        <v>0.00732</v>
      </c>
      <c r="J12" s="80" t="n">
        <v>0.00947</v>
      </c>
      <c r="K12" s="80" t="n">
        <v>0.01925</v>
      </c>
      <c r="L12" s="80" t="n">
        <v>0.0251</v>
      </c>
      <c r="M12" s="80" t="n">
        <v>0.03559</v>
      </c>
      <c r="N12" s="80" t="n">
        <v>0.04311</v>
      </c>
      <c r="O12" s="80" t="n">
        <v>0.0417</v>
      </c>
      <c r="P12" s="80" t="n">
        <v>0.02958</v>
      </c>
      <c r="Q12" s="80" t="n">
        <v>0.02829</v>
      </c>
      <c r="R12" s="97" t="b">
        <v>0</v>
      </c>
      <c r="S12" s="3"/>
    </row>
    <row r="13" ht="27" customHeight="1">
      <c r="A13" s="3"/>
      <c r="B13" s="59" t="str">
        <v>Proteomics</v>
      </c>
      <c r="C13" s="45" t="n">
        <v>626</v>
      </c>
      <c r="D13" s="45" t="n">
        <v>563</v>
      </c>
      <c r="E13" s="81" t="n">
        <v>0.09286</v>
      </c>
      <c r="F13" s="81" t="n">
        <v>0.125</v>
      </c>
      <c r="G13" s="81" t="n">
        <v>0.09973</v>
      </c>
      <c r="H13" s="81" t="n">
        <v>0.05211</v>
      </c>
      <c r="I13" s="81" t="n">
        <v>0.04475</v>
      </c>
      <c r="J13" s="81" t="n">
        <v>0.03725</v>
      </c>
      <c r="K13" s="81" t="n">
        <v>0.02185</v>
      </c>
      <c r="L13" s="81" t="n">
        <v>0.01731</v>
      </c>
      <c r="M13" s="81" t="n">
        <v>0.01544</v>
      </c>
      <c r="N13" s="81" t="n">
        <v>0.01279</v>
      </c>
      <c r="O13" s="81" t="n">
        <v>0.01154</v>
      </c>
      <c r="P13" s="81" t="n">
        <v>0.00973</v>
      </c>
      <c r="Q13" s="81" t="n">
        <v>0.01008</v>
      </c>
      <c r="R13" s="98" t="b">
        <v>1</v>
      </c>
      <c r="S13" s="3"/>
    </row>
    <row r="14" ht="27" customHeight="1">
      <c r="A14" s="3"/>
      <c r="B14" s="58" t="str">
        <v>Cell Reports</v>
      </c>
      <c r="C14" s="44" t="n">
        <v>553</v>
      </c>
      <c r="D14" s="44" t="n">
        <v>432</v>
      </c>
      <c r="E14" s="80" t="n">
        <v>0.025</v>
      </c>
      <c r="F14" s="80" t="n">
        <v>0.00403</v>
      </c>
      <c r="G14" s="80" t="n">
        <v>0.01366</v>
      </c>
      <c r="H14" s="80" t="n">
        <v>0.02262</v>
      </c>
      <c r="I14" s="80" t="n">
        <v>0.0236</v>
      </c>
      <c r="J14" s="80" t="n">
        <v>0.01768</v>
      </c>
      <c r="K14" s="80" t="n">
        <v>0.02237</v>
      </c>
      <c r="L14" s="80" t="n">
        <v>0.01731</v>
      </c>
      <c r="M14" s="80" t="n">
        <v>0.02015</v>
      </c>
      <c r="N14" s="80" t="n">
        <v>0.01863</v>
      </c>
      <c r="O14" s="80" t="n">
        <v>0.02345</v>
      </c>
      <c r="P14" s="80" t="n">
        <v>0.0218</v>
      </c>
      <c r="Q14" s="80" t="n">
        <v>0.01279</v>
      </c>
      <c r="R14" s="97" t="b">
        <v>0</v>
      </c>
      <c r="S14" s="3"/>
    </row>
    <row r="15" ht="27" customHeight="1">
      <c r="A15" s="3"/>
      <c r="B15" s="59" t="str">
        <v>Journal of Proteomics</v>
      </c>
      <c r="C15" s="45" t="n">
        <v>546</v>
      </c>
      <c r="D15" s="45" t="n">
        <v>483</v>
      </c>
      <c r="E15" s="81" t="n">
        <v>0.06429</v>
      </c>
      <c r="F15" s="81" t="n">
        <v>0.05242</v>
      </c>
      <c r="G15" s="81" t="n">
        <v>0.06557</v>
      </c>
      <c r="H15" s="81" t="n">
        <v>0.05506</v>
      </c>
      <c r="I15" s="81" t="n">
        <v>0.03824</v>
      </c>
      <c r="J15" s="81" t="n">
        <v>0.04293</v>
      </c>
      <c r="K15" s="81" t="n">
        <v>0.02497</v>
      </c>
      <c r="L15" s="81" t="n">
        <v>0.0238</v>
      </c>
      <c r="M15" s="81" t="n">
        <v>0.01544</v>
      </c>
      <c r="N15" s="81" t="n">
        <v>0.01133</v>
      </c>
      <c r="O15" s="81" t="n">
        <v>0.0067</v>
      </c>
      <c r="P15" s="81" t="n">
        <v>0.00584</v>
      </c>
      <c r="Q15" s="81" t="n">
        <v>0.00659</v>
      </c>
      <c r="R15" s="98" t="b">
        <v>1</v>
      </c>
      <c r="S15" s="3"/>
    </row>
    <row r="16" ht="27" customHeight="1">
      <c r="A16" s="3"/>
      <c r="B16" s="58" t="str">
        <v>J. Biological Chemistry</v>
      </c>
      <c r="C16" s="44" t="n">
        <v>529</v>
      </c>
      <c r="D16" s="44" t="n">
        <v>443</v>
      </c>
      <c r="E16" s="80" t="n">
        <v>0.00714</v>
      </c>
      <c r="F16" s="80" t="n">
        <v>0.00202</v>
      </c>
      <c r="G16" s="80" t="n">
        <v>0.00683</v>
      </c>
      <c r="H16" s="80" t="n">
        <v>0.0177</v>
      </c>
      <c r="I16" s="80" t="n">
        <v>0.00895</v>
      </c>
      <c r="J16" s="80" t="n">
        <v>0.01578</v>
      </c>
      <c r="K16" s="80" t="n">
        <v>0.01821</v>
      </c>
      <c r="L16" s="80" t="n">
        <v>0.02942</v>
      </c>
      <c r="M16" s="80" t="n">
        <v>0.0283</v>
      </c>
      <c r="N16" s="80" t="n">
        <v>0.02667</v>
      </c>
      <c r="O16" s="80" t="n">
        <v>0.01489</v>
      </c>
      <c r="P16" s="80" t="n">
        <v>0.01868</v>
      </c>
      <c r="Q16" s="80" t="n">
        <v>0.01977</v>
      </c>
      <c r="R16" s="97" t="b">
        <v>0</v>
      </c>
      <c r="S16" s="3"/>
    </row>
    <row r="17" ht="27" customHeight="1">
      <c r="A17" s="3"/>
      <c r="B17" s="59" t="str">
        <v>Nucleic Acids Research</v>
      </c>
      <c r="C17" s="45" t="n">
        <v>457</v>
      </c>
      <c r="D17" s="45" t="n">
        <v>390</v>
      </c>
      <c r="E17" s="81" t="n">
        <v>0.00357</v>
      </c>
      <c r="F17" s="81" t="n">
        <v>0.00806</v>
      </c>
      <c r="G17" s="81" t="n">
        <v>0.0041</v>
      </c>
      <c r="H17" s="81" t="n">
        <v>0.00393</v>
      </c>
      <c r="I17" s="81" t="n">
        <v>0.00814</v>
      </c>
      <c r="J17" s="81" t="n">
        <v>0.01326</v>
      </c>
      <c r="K17" s="81" t="n">
        <v>0.01353</v>
      </c>
      <c r="L17" s="81" t="n">
        <v>0.01688</v>
      </c>
      <c r="M17" s="81" t="n">
        <v>0.01415</v>
      </c>
      <c r="N17" s="81" t="n">
        <v>0.01973</v>
      </c>
      <c r="O17" s="81" t="n">
        <v>0.02271</v>
      </c>
      <c r="P17" s="81" t="n">
        <v>0.02491</v>
      </c>
      <c r="Q17" s="81" t="n">
        <v>0.02713</v>
      </c>
      <c r="R17" s="98" t="b">
        <v>0</v>
      </c>
      <c r="S17" s="3"/>
    </row>
    <row r="18" ht="27" customHeight="1">
      <c r="A18" s="3"/>
      <c r="B18" s="58" t="str">
        <v>PNAS</v>
      </c>
      <c r="C18" s="44" t="n">
        <v>386</v>
      </c>
      <c r="D18" s="44" t="n">
        <v>330</v>
      </c>
      <c r="E18" s="80" t="n">
        <v>0.02857</v>
      </c>
      <c r="F18" s="80" t="n">
        <v>0.01613</v>
      </c>
      <c r="G18" s="80" t="n">
        <v>0.0041</v>
      </c>
      <c r="H18" s="80" t="n">
        <v>0.01475</v>
      </c>
      <c r="I18" s="80" t="n">
        <v>0.01383</v>
      </c>
      <c r="J18" s="80" t="n">
        <v>0.00884</v>
      </c>
      <c r="K18" s="80" t="n">
        <v>0.01873</v>
      </c>
      <c r="L18" s="80" t="n">
        <v>0.01817</v>
      </c>
      <c r="M18" s="80" t="n">
        <v>0.01201</v>
      </c>
      <c r="N18" s="80" t="n">
        <v>0.01827</v>
      </c>
      <c r="O18" s="80" t="n">
        <v>0.0175</v>
      </c>
      <c r="P18" s="80" t="n">
        <v>0.01168</v>
      </c>
      <c r="Q18" s="80" t="n">
        <v>0.0124</v>
      </c>
      <c r="R18" s="97" t="b">
        <v>0</v>
      </c>
      <c r="S18" s="3"/>
    </row>
    <row r="19" ht="27" customHeight="1">
      <c r="A19" s="3"/>
      <c r="B19" s="59" t="str">
        <v>PLOS ONE</v>
      </c>
      <c r="C19" s="45" t="n">
        <v>367</v>
      </c>
      <c r="D19" s="45" t="n">
        <v>342</v>
      </c>
      <c r="E19" s="81" t="n">
        <v>0.075</v>
      </c>
      <c r="F19" s="81" t="n">
        <v>0.0625</v>
      </c>
      <c r="G19" s="81" t="n">
        <v>0.06967</v>
      </c>
      <c r="H19" s="81" t="n">
        <v>0.03245</v>
      </c>
      <c r="I19" s="81" t="n">
        <v>0.03662</v>
      </c>
      <c r="J19" s="81" t="n">
        <v>0.02146</v>
      </c>
      <c r="K19" s="81" t="n">
        <v>0.01821</v>
      </c>
      <c r="L19" s="81" t="n">
        <v>0.01039</v>
      </c>
      <c r="M19" s="81" t="n">
        <v>0.00386</v>
      </c>
      <c r="N19" s="81" t="n">
        <v>0.00438</v>
      </c>
      <c r="O19" s="81" t="n">
        <v>0.00596</v>
      </c>
      <c r="P19" s="81" t="n">
        <v>0.00506</v>
      </c>
      <c r="Q19" s="81" t="n">
        <v>0.00698</v>
      </c>
      <c r="R19" s="98" t="b">
        <v>0</v>
      </c>
      <c r="S19" s="3"/>
    </row>
    <row r="20" ht="27" customHeight="1">
      <c r="A20" s="3"/>
      <c r="B20" s="58" t="str">
        <v>Analytical Chemistry</v>
      </c>
      <c r="C20" s="44" t="n">
        <v>358</v>
      </c>
      <c r="D20" s="44" t="n">
        <v>310</v>
      </c>
      <c r="E20" s="80" t="n">
        <v>0.00714</v>
      </c>
      <c r="F20" s="80" t="n">
        <v>0.00806</v>
      </c>
      <c r="G20" s="80" t="n">
        <v>0.01366</v>
      </c>
      <c r="H20" s="80" t="n">
        <v>0.00983</v>
      </c>
      <c r="I20" s="80" t="n">
        <v>0.01546</v>
      </c>
      <c r="J20" s="80" t="n">
        <v>0.01515</v>
      </c>
      <c r="K20" s="80" t="n">
        <v>0.01405</v>
      </c>
      <c r="L20" s="80" t="n">
        <v>0.01947</v>
      </c>
      <c r="M20" s="80" t="n">
        <v>0.01672</v>
      </c>
      <c r="N20" s="80" t="n">
        <v>0.01498</v>
      </c>
      <c r="O20" s="80" t="n">
        <v>0.01191</v>
      </c>
      <c r="P20" s="80" t="n">
        <v>0.01401</v>
      </c>
      <c r="Q20" s="80" t="n">
        <v>0.00814</v>
      </c>
      <c r="R20" s="97" t="b">
        <v>0</v>
      </c>
      <c r="S20" s="3"/>
    </row>
    <row r="21" ht="27" customHeight="1">
      <c r="A21" s="3"/>
      <c r="B21" s="59" t="str">
        <v>Nature</v>
      </c>
      <c r="C21" s="45" t="n">
        <v>355</v>
      </c>
      <c r="D21" s="45" t="n">
        <v>237</v>
      </c>
      <c r="E21" s="81" t="n">
        <v>0.00714</v>
      </c>
      <c r="F21" s="81" t="n">
        <v>0.01008</v>
      </c>
      <c r="G21" s="81" t="n">
        <v>0.01366</v>
      </c>
      <c r="H21" s="81" t="n">
        <v>0.00885</v>
      </c>
      <c r="I21" s="81" t="n">
        <v>0.00976</v>
      </c>
      <c r="J21" s="81" t="n">
        <v>0.00821</v>
      </c>
      <c r="K21" s="81" t="n">
        <v>0.01353</v>
      </c>
      <c r="L21" s="81" t="n">
        <v>0.01125</v>
      </c>
      <c r="M21" s="81" t="n">
        <v>0.01115</v>
      </c>
      <c r="N21" s="81" t="n">
        <v>0.0106</v>
      </c>
      <c r="O21" s="81" t="n">
        <v>0.0134</v>
      </c>
      <c r="P21" s="81" t="n">
        <v>0.01207</v>
      </c>
      <c r="Q21" s="81" t="n">
        <v>0.00465</v>
      </c>
      <c r="R21" s="98" t="b">
        <v>0</v>
      </c>
      <c r="S21" s="3"/>
    </row>
    <row r="22" ht="27" customHeight="1">
      <c r="A22" s="3"/>
      <c r="B22" s="76" t="str">
        <v>eLife</v>
      </c>
      <c r="C22" s="51" t="n">
        <v>317</v>
      </c>
      <c r="D22" s="51" t="n">
        <v>268</v>
      </c>
      <c r="E22" s="88" t="n">
        <v>0</v>
      </c>
      <c r="F22" s="88" t="n">
        <v>0.00403</v>
      </c>
      <c r="G22" s="88" t="n">
        <v>0.00956</v>
      </c>
      <c r="H22" s="88" t="n">
        <v>0.00983</v>
      </c>
      <c r="I22" s="88" t="n">
        <v>0.01302</v>
      </c>
      <c r="J22" s="88" t="n">
        <v>0.01136</v>
      </c>
      <c r="K22" s="88" t="n">
        <v>0.01665</v>
      </c>
      <c r="L22" s="88" t="n">
        <v>0.01947</v>
      </c>
      <c r="M22" s="88" t="n">
        <v>0.01458</v>
      </c>
      <c r="N22" s="88" t="n">
        <v>0.01644</v>
      </c>
      <c r="O22" s="88" t="n">
        <v>0.01415</v>
      </c>
      <c r="P22" s="88" t="n">
        <v>0.0074</v>
      </c>
      <c r="Q22" s="88" t="n">
        <v>0.00078</v>
      </c>
      <c r="R22" s="99" t="b">
        <v>0</v>
      </c>
      <c r="S22" s="3"/>
    </row>
    <row r="23" ht="23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23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23" customHeight="1">
      <c r="A25" s="3"/>
      <c r="B25" s="53" t="str">
        <v>Table scope</v>
      </c>
      <c r="C25" s="5"/>
      <c r="D25" s="5"/>
      <c r="E25" s="5"/>
      <c r="F25" s="5"/>
      <c r="G25" s="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27" customHeight="1">
      <c r="A26" s="3"/>
      <c r="B26" s="12" t="str">
        <v>Journals of dataset-linked papers (Fig. 5b–c)</v>
      </c>
      <c r="C26" s="12"/>
      <c r="D26" s="12"/>
      <c r="E26" s="12"/>
      <c r="F26" s="12"/>
      <c r="G26" s="1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23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23" customHeight="1">
      <c r="A28" s="3"/>
      <c r="B28" s="53" t="str">
        <v>Definition</v>
      </c>
      <c r="C28" s="5"/>
      <c r="D28" s="5"/>
      <c r="E28" s="5"/>
      <c r="F28" s="5"/>
      <c r="G28" s="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27" customHeight="1">
      <c r="A29" s="3"/>
      <c r="B29" s="12" t="str">
        <v>Top 15 journals by linked datasets and share of each year’s linked papers.</v>
      </c>
      <c r="C29" s="12"/>
      <c r="D29" s="12"/>
      <c r="E29" s="12"/>
      <c r="F29" s="12"/>
      <c r="G29" s="1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23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23" customHeight="1">
      <c r="A31" s="3"/>
      <c r="B31" s="53" t="str">
        <v>Source</v>
      </c>
      <c r="C31" s="5"/>
      <c r="D31" s="5"/>
      <c r="E31" s="5"/>
      <c r="F31" s="5"/>
      <c r="G31" s="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27" customHeight="1">
      <c r="A32" s="3"/>
      <c r="B32" s="12" t="str">
        <v>Gallery/data/37-journals-top15.csv; 37-journals-concentration.csv</v>
      </c>
      <c r="C32" s="12"/>
      <c r="D32" s="12"/>
      <c r="E32" s="12"/>
      <c r="F32" s="12"/>
      <c r="G32" s="1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23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23" customHeight="1">
      <c r="A34" s="3"/>
      <c r="B34" s="53" t="str">
        <v>Original column names</v>
      </c>
      <c r="C34" s="5"/>
      <c r="D34" s="5"/>
      <c r="E34" s="5"/>
      <c r="F34" s="5"/>
      <c r="G34" s="5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42" customHeight="1">
      <c r="A35" s="3"/>
      <c r="B35" s="12" t="str">
        <v>journal, linked_datasets, linked_papers, share_2013, share_2014, share_2015, share_2016, share_2017, share_2018, share_2019, share_2020, share_2021, share_2022, share_2023, share_2024, share_2025, proteomics_titled</v>
      </c>
      <c r="C35" s="12"/>
      <c r="D35" s="12"/>
      <c r="E35" s="12"/>
      <c r="F35" s="12"/>
      <c r="G35" s="1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23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23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23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23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23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23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23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23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23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23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23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23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</sheetData>
  <mergeCells>
    <mergeCell ref="B2:G2"/>
    <mergeCell ref="B3:G3"/>
    <mergeCell ref="B4:G4"/>
    <mergeCell ref="B25:G25"/>
    <mergeCell ref="B26:G26"/>
    <mergeCell ref="B28:G28"/>
    <mergeCell ref="B29:G29"/>
    <mergeCell ref="B31:G31"/>
    <mergeCell ref="B32:G32"/>
    <mergeCell ref="B34:G34"/>
    <mergeCell ref="B35:G35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8" orientation="landscape" scale="90" useFirstPageNumber="0"/>
  <headerFooter>
    <oddFooter>&amp;LPRIDE supplementary tables&amp;CS17&amp;RPage &amp;P of &amp;N</oddFooter>
  </headerFooter>
  <tableParts count="1">
    <tablePart ns1:id="R60520cd5c44a4706"/>
  </tableParts>
</worksheet>
</file>

<file path=xl/worksheets/sheet19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3" customHeight="1">
      <c r="A2" s="3"/>
      <c r="B2" s="5" t="str">
        <v>SUPPLEMENTARY TABLE S18</v>
      </c>
      <c r="C2" s="5"/>
      <c r="D2" s="5"/>
      <c r="E2" s="5"/>
      <c r="F2" s="5"/>
      <c r="G2" s="5"/>
      <c r="H2" s="3"/>
      <c r="I2" s="3"/>
      <c r="J2" s="3"/>
      <c r="K2" s="3"/>
      <c r="L2" s="3"/>
    </row>
    <row r="3" ht="30" customHeight="1">
      <c r="A3" s="3"/>
      <c r="B3" s="7" t="str">
        <v>Journal diversity and concentration</v>
      </c>
      <c r="C3" s="7"/>
      <c r="D3" s="7"/>
      <c r="E3" s="7"/>
      <c r="F3" s="7"/>
      <c r="G3" s="7"/>
      <c r="H3" s="3"/>
      <c r="I3" s="3"/>
      <c r="J3" s="3"/>
      <c r="K3" s="3"/>
      <c r="L3" s="3"/>
    </row>
    <row r="4" ht="29" customHeight="1">
      <c r="A4" s="3"/>
      <c r="B4" s="12" t="str">
        <v>Papers with a known journal, by publication year. Bounds are 95% bootstrap intervals.</v>
      </c>
      <c r="C4" s="12"/>
      <c r="D4" s="12"/>
      <c r="E4" s="12"/>
      <c r="F4" s="12"/>
      <c r="G4" s="12"/>
      <c r="H4" s="3"/>
      <c r="I4" s="3"/>
      <c r="J4" s="3"/>
      <c r="K4" s="3"/>
      <c r="L4" s="3"/>
    </row>
    <row r="5" ht="23" customHeight="1">
      <c r="A5" s="3"/>
      <c r="B5" s="28"/>
      <c r="C5" s="28"/>
      <c r="D5" s="28"/>
      <c r="E5" s="28"/>
      <c r="F5" s="28"/>
      <c r="G5" s="28"/>
      <c r="H5" s="3"/>
      <c r="I5" s="3"/>
      <c r="J5" s="3"/>
      <c r="K5" s="3"/>
      <c r="L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ht="54" customHeight="1">
      <c r="A7" s="3"/>
      <c r="B7" s="35" t="str">
        <v>Publication year</v>
      </c>
      <c r="C7" s="36" t="str">
        <v>Papers with journal</v>
      </c>
      <c r="D7" s="36" t="str">
        <v>Top 10 journals (%)</v>
      </c>
      <c r="E7" s="36" t="str">
        <v>Top 10, lower 95% (%)</v>
      </c>
      <c r="F7" s="36" t="str">
        <v>Top 10, upper 95% (%)</v>
      </c>
      <c r="G7" s="36" t="str">
        <v>Proteomics journals (%)</v>
      </c>
      <c r="H7" s="36" t="str">
        <v>Proteomics, lower 95% (%)</v>
      </c>
      <c r="I7" s="36" t="str">
        <v>Proteomics, upper 95% (%)</v>
      </c>
      <c r="J7" s="36" t="str">
        <v>Distinct journals</v>
      </c>
      <c r="K7" s="37" t="str">
        <v>Effective number of journals</v>
      </c>
      <c r="L7" s="3"/>
    </row>
    <row r="8" ht="27" customHeight="1">
      <c r="A8" s="3"/>
      <c r="B8" s="40" t="n">
        <v>2013</v>
      </c>
      <c r="C8" s="44" t="n">
        <v>280</v>
      </c>
      <c r="D8" s="80" t="n">
        <v>0.6643</v>
      </c>
      <c r="E8" s="82" t="n">
        <v>0.6264</v>
      </c>
      <c r="F8" s="82" t="n">
        <v>0.7313</v>
      </c>
      <c r="G8" s="80" t="n">
        <v>0.5071</v>
      </c>
      <c r="H8" s="82" t="n">
        <v>0.4456</v>
      </c>
      <c r="I8" s="82" t="n">
        <v>0.5684</v>
      </c>
      <c r="J8" s="44" t="n">
        <v>78</v>
      </c>
      <c r="K8" s="62" t="n">
        <v>13.1942</v>
      </c>
      <c r="L8" s="3"/>
    </row>
    <row r="9" ht="27" customHeight="1">
      <c r="A9" s="3"/>
      <c r="B9" s="41" t="n">
        <v>2014</v>
      </c>
      <c r="C9" s="45" t="n">
        <v>496</v>
      </c>
      <c r="D9" s="81" t="n">
        <v>0.6391</v>
      </c>
      <c r="E9" s="83" t="n">
        <v>0.6104</v>
      </c>
      <c r="F9" s="83" t="n">
        <v>0.6933</v>
      </c>
      <c r="G9" s="81" t="n">
        <v>0.5141</v>
      </c>
      <c r="H9" s="83" t="n">
        <v>0.4696</v>
      </c>
      <c r="I9" s="83" t="n">
        <v>0.5588</v>
      </c>
      <c r="J9" s="45" t="n">
        <v>128</v>
      </c>
      <c r="K9" s="63" t="n">
        <v>13.0043</v>
      </c>
      <c r="L9" s="3"/>
    </row>
    <row r="10" ht="27" customHeight="1">
      <c r="A10" s="3"/>
      <c r="B10" s="40" t="n">
        <v>2015</v>
      </c>
      <c r="C10" s="44" t="n">
        <v>732</v>
      </c>
      <c r="D10" s="80" t="n">
        <v>0.5738</v>
      </c>
      <c r="E10" s="82" t="n">
        <v>0.5449</v>
      </c>
      <c r="F10" s="82" t="n">
        <v>0.6218</v>
      </c>
      <c r="G10" s="80" t="n">
        <v>0.4139</v>
      </c>
      <c r="H10" s="82" t="n">
        <v>0.3756</v>
      </c>
      <c r="I10" s="82" t="n">
        <v>0.4536</v>
      </c>
      <c r="J10" s="44" t="n">
        <v>173</v>
      </c>
      <c r="K10" s="62" t="n">
        <v>18.7377</v>
      </c>
      <c r="L10" s="3"/>
    </row>
    <row r="11" ht="27" customHeight="1">
      <c r="A11" s="3"/>
      <c r="B11" s="41" t="n">
        <v>2016</v>
      </c>
      <c r="C11" s="45" t="n">
        <v>1017</v>
      </c>
      <c r="D11" s="81" t="n">
        <v>0.5379</v>
      </c>
      <c r="E11" s="83" t="n">
        <v>0.5066</v>
      </c>
      <c r="F11" s="83" t="n">
        <v>0.5745</v>
      </c>
      <c r="G11" s="81" t="n">
        <v>0.352</v>
      </c>
      <c r="H11" s="83" t="n">
        <v>0.3164</v>
      </c>
      <c r="I11" s="83" t="n">
        <v>0.3833</v>
      </c>
      <c r="J11" s="45" t="n">
        <v>223</v>
      </c>
      <c r="K11" s="63" t="n">
        <v>24.0303</v>
      </c>
      <c r="L11" s="3"/>
    </row>
    <row r="12" ht="27" customHeight="1">
      <c r="A12" s="3"/>
      <c r="B12" s="40" t="n">
        <v>2017</v>
      </c>
      <c r="C12" s="44" t="n">
        <v>1229</v>
      </c>
      <c r="D12" s="80" t="n">
        <v>0.476</v>
      </c>
      <c r="E12" s="82" t="n">
        <v>0.454</v>
      </c>
      <c r="F12" s="82" t="n">
        <v>0.508</v>
      </c>
      <c r="G12" s="80" t="n">
        <v>0.2815</v>
      </c>
      <c r="H12" s="82" t="n">
        <v>0.2551</v>
      </c>
      <c r="I12" s="82" t="n">
        <v>0.3083</v>
      </c>
      <c r="J12" s="44" t="n">
        <v>272</v>
      </c>
      <c r="K12" s="62" t="n">
        <v>31.476</v>
      </c>
      <c r="L12" s="3"/>
    </row>
    <row r="13" ht="27" customHeight="1">
      <c r="A13" s="3"/>
      <c r="B13" s="41" t="n">
        <v>2018</v>
      </c>
      <c r="C13" s="45" t="n">
        <v>1584</v>
      </c>
      <c r="D13" s="81" t="n">
        <v>0.4205</v>
      </c>
      <c r="E13" s="83" t="n">
        <v>0.3991</v>
      </c>
      <c r="F13" s="83" t="n">
        <v>0.4495</v>
      </c>
      <c r="G13" s="81" t="n">
        <v>0.2626</v>
      </c>
      <c r="H13" s="83" t="n">
        <v>0.239</v>
      </c>
      <c r="I13" s="83" t="n">
        <v>0.2856</v>
      </c>
      <c r="J13" s="45" t="n">
        <v>361</v>
      </c>
      <c r="K13" s="63" t="n">
        <v>38.2548</v>
      </c>
      <c r="L13" s="3"/>
    </row>
    <row r="14" ht="27" customHeight="1">
      <c r="A14" s="3"/>
      <c r="B14" s="40" t="n">
        <v>2019</v>
      </c>
      <c r="C14" s="44" t="n">
        <v>1922</v>
      </c>
      <c r="D14" s="80" t="n">
        <v>0.3736</v>
      </c>
      <c r="E14" s="82" t="n">
        <v>0.3573</v>
      </c>
      <c r="F14" s="82" t="n">
        <v>0.3984</v>
      </c>
      <c r="G14" s="80" t="n">
        <v>0.1821</v>
      </c>
      <c r="H14" s="82" t="n">
        <v>0.164</v>
      </c>
      <c r="I14" s="82" t="n">
        <v>0.1999</v>
      </c>
      <c r="J14" s="44" t="n">
        <v>402</v>
      </c>
      <c r="K14" s="62" t="n">
        <v>46.6178</v>
      </c>
      <c r="L14" s="3"/>
    </row>
    <row r="15" ht="27" customHeight="1">
      <c r="A15" s="3"/>
      <c r="B15" s="41" t="n">
        <v>2020</v>
      </c>
      <c r="C15" s="45" t="n">
        <v>2311</v>
      </c>
      <c r="D15" s="81" t="n">
        <v>0.3544</v>
      </c>
      <c r="E15" s="83" t="n">
        <v>0.3403</v>
      </c>
      <c r="F15" s="83" t="n">
        <v>0.3784</v>
      </c>
      <c r="G15" s="81" t="n">
        <v>0.148</v>
      </c>
      <c r="H15" s="83" t="n">
        <v>0.1329</v>
      </c>
      <c r="I15" s="83" t="n">
        <v>0.1642</v>
      </c>
      <c r="J15" s="45" t="n">
        <v>454</v>
      </c>
      <c r="K15" s="63" t="n">
        <v>49.7603</v>
      </c>
      <c r="L15" s="3"/>
    </row>
    <row r="16" ht="27" customHeight="1">
      <c r="A16" s="3"/>
      <c r="B16" s="40" t="n">
        <v>2021</v>
      </c>
      <c r="C16" s="44" t="n">
        <v>2332</v>
      </c>
      <c r="D16" s="80" t="n">
        <v>0.3135</v>
      </c>
      <c r="E16" s="82" t="n">
        <v>0.2977</v>
      </c>
      <c r="F16" s="82" t="n">
        <v>0.3343</v>
      </c>
      <c r="G16" s="80" t="n">
        <v>0.1175</v>
      </c>
      <c r="H16" s="82" t="n">
        <v>0.104</v>
      </c>
      <c r="I16" s="82" t="n">
        <v>0.1316</v>
      </c>
      <c r="J16" s="44" t="n">
        <v>503</v>
      </c>
      <c r="K16" s="62" t="n">
        <v>62.9468</v>
      </c>
      <c r="L16" s="3"/>
    </row>
    <row r="17" ht="27" customHeight="1">
      <c r="A17" s="3"/>
      <c r="B17" s="41" t="n">
        <v>2022</v>
      </c>
      <c r="C17" s="45" t="n">
        <v>2737</v>
      </c>
      <c r="D17" s="81" t="n">
        <v>0.2901</v>
      </c>
      <c r="E17" s="83" t="n">
        <v>0.2795</v>
      </c>
      <c r="F17" s="83" t="n">
        <v>0.3109</v>
      </c>
      <c r="G17" s="81" t="n">
        <v>0.0866</v>
      </c>
      <c r="H17" s="83" t="n">
        <v>0.075</v>
      </c>
      <c r="I17" s="83" t="n">
        <v>0.0977</v>
      </c>
      <c r="J17" s="45" t="n">
        <v>548</v>
      </c>
      <c r="K17" s="63" t="n">
        <v>69.5062</v>
      </c>
      <c r="L17" s="3"/>
    </row>
    <row r="18" ht="27" customHeight="1">
      <c r="A18" s="3"/>
      <c r="B18" s="40" t="n">
        <v>2023</v>
      </c>
      <c r="C18" s="44" t="n">
        <v>2686</v>
      </c>
      <c r="D18" s="80" t="n">
        <v>0.2978</v>
      </c>
      <c r="E18" s="82" t="n">
        <v>0.2842</v>
      </c>
      <c r="F18" s="82" t="n">
        <v>0.3175</v>
      </c>
      <c r="G18" s="80" t="n">
        <v>0.0834</v>
      </c>
      <c r="H18" s="82" t="n">
        <v>0.0718</v>
      </c>
      <c r="I18" s="82" t="n">
        <v>0.0954</v>
      </c>
      <c r="J18" s="44" t="n">
        <v>526</v>
      </c>
      <c r="K18" s="62" t="n">
        <v>63.4641</v>
      </c>
      <c r="L18" s="3"/>
    </row>
    <row r="19" ht="27" customHeight="1">
      <c r="A19" s="3"/>
      <c r="B19" s="41" t="n">
        <v>2024</v>
      </c>
      <c r="C19" s="45" t="n">
        <v>2569</v>
      </c>
      <c r="D19" s="81" t="n">
        <v>0.2896</v>
      </c>
      <c r="E19" s="83" t="n">
        <v>0.2754</v>
      </c>
      <c r="F19" s="83" t="n">
        <v>0.3089</v>
      </c>
      <c r="G19" s="81" t="n">
        <v>0.093</v>
      </c>
      <c r="H19" s="83" t="n">
        <v>0.0806</v>
      </c>
      <c r="I19" s="83" t="n">
        <v>0.1051</v>
      </c>
      <c r="J19" s="45" t="n">
        <v>585</v>
      </c>
      <c r="K19" s="63" t="n">
        <v>77.0217</v>
      </c>
      <c r="L19" s="3"/>
    </row>
    <row r="20" ht="27" customHeight="1">
      <c r="A20" s="3"/>
      <c r="B20" s="50" t="n">
        <v>2025</v>
      </c>
      <c r="C20" s="51" t="n">
        <v>2580</v>
      </c>
      <c r="D20" s="88" t="n">
        <v>0.3058</v>
      </c>
      <c r="E20" s="89" t="n">
        <v>0.291</v>
      </c>
      <c r="F20" s="89" t="n">
        <v>0.327</v>
      </c>
      <c r="G20" s="88" t="n">
        <v>0.1004</v>
      </c>
      <c r="H20" s="89" t="n">
        <v>0.0894</v>
      </c>
      <c r="I20" s="89" t="n">
        <v>0.1122</v>
      </c>
      <c r="J20" s="51" t="n">
        <v>627</v>
      </c>
      <c r="K20" s="86" t="n">
        <v>64.4638</v>
      </c>
      <c r="L20" s="3"/>
    </row>
    <row r="21" ht="23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23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23" customHeight="1">
      <c r="A23" s="3"/>
      <c r="B23" s="53" t="str">
        <v>Table scope</v>
      </c>
      <c r="C23" s="5"/>
      <c r="D23" s="5"/>
      <c r="E23" s="5"/>
      <c r="F23" s="5"/>
      <c r="G23" s="5"/>
      <c r="H23" s="3"/>
      <c r="I23" s="3"/>
      <c r="J23" s="3"/>
      <c r="K23" s="3"/>
      <c r="L23" s="3"/>
    </row>
    <row r="24" ht="27" customHeight="1">
      <c r="A24" s="3"/>
      <c r="B24" s="12" t="str">
        <v>Concentration of dataset-linked papers across journals by year (Fig. 5c)</v>
      </c>
      <c r="C24" s="12"/>
      <c r="D24" s="12"/>
      <c r="E24" s="12"/>
      <c r="F24" s="12"/>
      <c r="G24" s="12"/>
      <c r="H24" s="3"/>
      <c r="I24" s="3"/>
      <c r="J24" s="3"/>
      <c r="K24" s="3"/>
      <c r="L24" s="3"/>
    </row>
    <row r="25" ht="23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23" customHeight="1">
      <c r="A26" s="3"/>
      <c r="B26" s="53" t="str">
        <v>Source</v>
      </c>
      <c r="C26" s="5"/>
      <c r="D26" s="5"/>
      <c r="E26" s="5"/>
      <c r="F26" s="5"/>
      <c r="G26" s="5"/>
      <c r="H26" s="3"/>
      <c r="I26" s="3"/>
      <c r="J26" s="3"/>
      <c r="K26" s="3"/>
      <c r="L26" s="3"/>
    </row>
    <row r="27" ht="27" customHeight="1">
      <c r="A27" s="3"/>
      <c r="B27" s="12" t="str">
        <v>Gallery/data/37-journals-concentration.csv</v>
      </c>
      <c r="C27" s="12"/>
      <c r="D27" s="12"/>
      <c r="E27" s="12"/>
      <c r="F27" s="12"/>
      <c r="G27" s="12"/>
      <c r="H27" s="3"/>
      <c r="I27" s="3"/>
      <c r="J27" s="3"/>
      <c r="K27" s="3"/>
      <c r="L27" s="3"/>
    </row>
    <row r="28" ht="23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23" customHeight="1">
      <c r="A29" s="3"/>
      <c r="B29" s="53" t="str">
        <v>Original column names</v>
      </c>
      <c r="C29" s="5"/>
      <c r="D29" s="5"/>
      <c r="E29" s="5"/>
      <c r="F29" s="5"/>
      <c r="G29" s="5"/>
      <c r="H29" s="3"/>
      <c r="I29" s="3"/>
      <c r="J29" s="3"/>
      <c r="K29" s="3"/>
      <c r="L29" s="3"/>
    </row>
    <row r="30" ht="42" customHeight="1">
      <c r="A30" s="3"/>
      <c r="B30" s="12" t="str">
        <v>paper_year, papers_with_journal, top10_share, top10_lo, top10_hi, proteomics_titled_share, proteomics_lo, proteomics_hi, distinct_journals, effective_journals</v>
      </c>
      <c r="C30" s="12"/>
      <c r="D30" s="12"/>
      <c r="E30" s="12"/>
      <c r="F30" s="12"/>
      <c r="G30" s="12"/>
      <c r="H30" s="3"/>
      <c r="I30" s="3"/>
      <c r="J30" s="3"/>
      <c r="K30" s="3"/>
      <c r="L30" s="3"/>
    </row>
    <row r="31" ht="23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23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23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23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ht="23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23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23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23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23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ht="23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23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23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23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23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23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</sheetData>
  <mergeCells>
    <mergeCell ref="B2:G2"/>
    <mergeCell ref="B3:G3"/>
    <mergeCell ref="B4:G4"/>
    <mergeCell ref="B23:G23"/>
    <mergeCell ref="B24:G24"/>
    <mergeCell ref="B26:G26"/>
    <mergeCell ref="B27:G27"/>
    <mergeCell ref="B29:G29"/>
    <mergeCell ref="B30:G30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9" orientation="landscape" scale="90" useFirstPageNumber="0"/>
  <headerFooter>
    <oddFooter>&amp;LPRIDE supplementary tables&amp;CS18&amp;RPage &amp;P of &amp;N</oddFooter>
  </headerFooter>
  <tableParts count="1">
    <tablePart ns1:id="R2ab19edbda1a458a"/>
  </tableParts>
</worksheet>
</file>

<file path=xl/worksheets/sheet20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24" hidden="0" customWidth="1"/>
    <col min="3" max="3" width="24" hidden="0" customWidth="1"/>
    <col min="4" max="4" width="2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ht="23" customHeight="1">
      <c r="A2" s="3"/>
      <c r="B2" s="5" t="str">
        <v>SUPPLEMENTARY TABLE S19</v>
      </c>
      <c r="C2" s="5"/>
      <c r="D2" s="5"/>
      <c r="E2" s="5"/>
      <c r="F2" s="5"/>
      <c r="G2" s="5"/>
      <c r="H2" s="3"/>
      <c r="I2" s="3"/>
      <c r="J2" s="3"/>
    </row>
    <row r="3" ht="30" customHeight="1">
      <c r="A3" s="3"/>
      <c r="B3" s="7" t="str">
        <v>Accession mentions by dataset characteristics</v>
      </c>
      <c r="C3" s="7"/>
      <c r="D3" s="7"/>
      <c r="E3" s="7"/>
      <c r="F3" s="7"/>
      <c r="G3" s="7"/>
      <c r="H3" s="3"/>
      <c r="I3" s="3"/>
      <c r="J3" s="3"/>
    </row>
    <row r="4" ht="29" customHeight="1">
      <c r="A4" s="3"/>
      <c r="B4" s="12" t="str">
        <v>Accession mentions do not establish reanalysis. D1, D2 and D3 definitions are given below the table.</v>
      </c>
      <c r="C4" s="12"/>
      <c r="D4" s="12"/>
      <c r="E4" s="12"/>
      <c r="F4" s="12"/>
      <c r="G4" s="12"/>
      <c r="H4" s="3"/>
      <c r="I4" s="3"/>
      <c r="J4" s="3"/>
    </row>
    <row r="5" ht="23" customHeight="1">
      <c r="A5" s="3"/>
      <c r="B5" s="28"/>
      <c r="C5" s="28"/>
      <c r="D5" s="28"/>
      <c r="E5" s="28"/>
      <c r="F5" s="28"/>
      <c r="G5" s="28"/>
      <c r="H5" s="3"/>
      <c r="I5" s="3"/>
      <c r="J5" s="3"/>
    </row>
    <row r="6" ht="23" customHeight="1">
      <c r="A6" s="3"/>
      <c r="B6" s="4" t="str">
        <v>Contents</v>
      </c>
      <c r="C6" s="3"/>
      <c r="D6" s="3"/>
      <c r="E6" s="3"/>
      <c r="F6" s="3"/>
      <c r="G6" s="3"/>
      <c r="H6" s="3"/>
      <c r="I6" s="3"/>
      <c r="J6" s="3"/>
    </row>
    <row r="7" ht="43" customHeight="1">
      <c r="A7" s="3"/>
      <c r="B7" s="35" t="str">
        <v>Outcome</v>
      </c>
      <c r="C7" s="36" t="str">
        <v>Feature</v>
      </c>
      <c r="D7" s="36" t="str">
        <v>Level</v>
      </c>
      <c r="E7" s="36" t="str">
        <v>Datasets</v>
      </c>
      <c r="F7" s="36" t="str">
        <v>Unadjusted rate (%)</v>
      </c>
      <c r="G7" s="36" t="str">
        <v>Standardised rate (%)</v>
      </c>
      <c r="H7" s="36" t="str">
        <v>Lower 95% (%)</v>
      </c>
      <c r="I7" s="37" t="str">
        <v>Upper 95% (%)</v>
      </c>
      <c r="J7" s="3"/>
    </row>
    <row r="8" ht="27" customHeight="1">
      <c r="A8" s="3"/>
      <c r="B8" s="58" t="str">
        <v>D1</v>
      </c>
      <c r="C8" s="58" t="str">
        <v>All</v>
      </c>
      <c r="D8" s="58" t="str">
        <v>all</v>
      </c>
      <c r="E8" s="44" t="n">
        <v>20684</v>
      </c>
      <c r="F8" s="110" t="n">
        <v>2.34</v>
      </c>
      <c r="G8" s="110" t="n">
        <v>2.34</v>
      </c>
      <c r="H8" s="112" t="n">
        <v>2.07</v>
      </c>
      <c r="I8" s="112" t="n">
        <v>2.63</v>
      </c>
      <c r="J8" s="3"/>
    </row>
    <row r="9" ht="27" customHeight="1">
      <c r="A9" s="3"/>
      <c r="B9" s="59" t="str">
        <v>D1</v>
      </c>
      <c r="C9" s="59" t="str">
        <v>Standard files</v>
      </c>
      <c r="D9" s="59" t="str">
        <v>True</v>
      </c>
      <c r="E9" s="45" t="n">
        <v>3793</v>
      </c>
      <c r="F9" s="111" t="n">
        <v>2.11</v>
      </c>
      <c r="G9" s="111" t="n">
        <v>2.09</v>
      </c>
      <c r="H9" s="113" t="n">
        <v>1.56</v>
      </c>
      <c r="I9" s="113" t="n">
        <v>2.66</v>
      </c>
      <c r="J9" s="3"/>
    </row>
    <row r="10" ht="27" customHeight="1">
      <c r="A10" s="3"/>
      <c r="B10" s="58" t="str">
        <v>D1</v>
      </c>
      <c r="C10" s="58" t="str">
        <v>Standard files</v>
      </c>
      <c r="D10" s="58" t="str">
        <v>False</v>
      </c>
      <c r="E10" s="44" t="n">
        <v>16891</v>
      </c>
      <c r="F10" s="110" t="n">
        <v>2.39</v>
      </c>
      <c r="G10" s="110" t="n">
        <v>2.38</v>
      </c>
      <c r="H10" s="112" t="n">
        <v>2.07</v>
      </c>
      <c r="I10" s="112" t="n">
        <v>2.72</v>
      </c>
      <c r="J10" s="3"/>
    </row>
    <row r="11" ht="27" customHeight="1">
      <c r="A11" s="3"/>
      <c r="B11" s="59" t="str">
        <v>D1</v>
      </c>
      <c r="C11" s="59" t="str">
        <v>Thermo Fisher only</v>
      </c>
      <c r="D11" s="59" t="str">
        <v>True</v>
      </c>
      <c r="E11" s="45" t="n">
        <v>17574</v>
      </c>
      <c r="F11" s="111" t="n">
        <v>2.45</v>
      </c>
      <c r="G11" s="111" t="n">
        <v>2.44</v>
      </c>
      <c r="H11" s="113" t="n">
        <v>2.16</v>
      </c>
      <c r="I11" s="113" t="n">
        <v>2.7</v>
      </c>
      <c r="J11" s="3"/>
    </row>
    <row r="12" ht="27" customHeight="1">
      <c r="A12" s="3"/>
      <c r="B12" s="58" t="str">
        <v>D1</v>
      </c>
      <c r="C12" s="58" t="str">
        <v>Thermo Fisher only</v>
      </c>
      <c r="D12" s="58" t="str">
        <v>False</v>
      </c>
      <c r="E12" s="44" t="n">
        <v>3110</v>
      </c>
      <c r="F12" s="110" t="n">
        <v>1.7</v>
      </c>
      <c r="G12" s="110" t="n">
        <v>1.81</v>
      </c>
      <c r="H12" s="112" t="n">
        <v>1.23</v>
      </c>
      <c r="I12" s="112" t="n">
        <v>2.44</v>
      </c>
      <c r="J12" s="3"/>
    </row>
    <row r="13" ht="27" customHeight="1">
      <c r="A13" s="3"/>
      <c r="B13" s="59" t="str">
        <v>D1</v>
      </c>
      <c r="C13" s="59" t="str">
        <v>Bruker</v>
      </c>
      <c r="D13" s="59" t="str">
        <v>True</v>
      </c>
      <c r="E13" s="45" t="n">
        <v>726</v>
      </c>
      <c r="F13" s="111" t="n">
        <v>2.34</v>
      </c>
      <c r="G13" s="111" t="n">
        <v>1.92</v>
      </c>
      <c r="H13" s="113" t="n">
        <v>0.95</v>
      </c>
      <c r="I13" s="113" t="n">
        <v>3.23</v>
      </c>
      <c r="J13" s="3"/>
    </row>
    <row r="14" ht="27" customHeight="1">
      <c r="A14" s="3"/>
      <c r="B14" s="58" t="str">
        <v>D1</v>
      </c>
      <c r="C14" s="58" t="str">
        <v>Bruker</v>
      </c>
      <c r="D14" s="58" t="str">
        <v>False</v>
      </c>
      <c r="E14" s="44" t="n">
        <v>19958</v>
      </c>
      <c r="F14" s="110" t="n">
        <v>2.33</v>
      </c>
      <c r="G14" s="110" t="n">
        <v>2.33</v>
      </c>
      <c r="H14" s="112" t="n">
        <v>2.08</v>
      </c>
      <c r="I14" s="112" t="n">
        <v>2.6</v>
      </c>
      <c r="J14" s="3"/>
    </row>
    <row r="15" ht="27" customHeight="1">
      <c r="A15" s="3"/>
      <c r="B15" s="59" t="str">
        <v>D1</v>
      </c>
      <c r="C15" s="59" t="str">
        <v>DIA</v>
      </c>
      <c r="D15" s="59" t="str">
        <v>True</v>
      </c>
      <c r="E15" s="45" t="n">
        <v>1038</v>
      </c>
      <c r="F15" s="111" t="n">
        <v>4.62</v>
      </c>
      <c r="G15" s="111" t="n">
        <v>4.45</v>
      </c>
      <c r="H15" s="113" t="n">
        <v>3.05</v>
      </c>
      <c r="I15" s="113" t="n">
        <v>5.69</v>
      </c>
      <c r="J15" s="3"/>
    </row>
    <row r="16" ht="27" customHeight="1">
      <c r="A16" s="3"/>
      <c r="B16" s="58" t="str">
        <v>D1</v>
      </c>
      <c r="C16" s="58" t="str">
        <v>DIA</v>
      </c>
      <c r="D16" s="58" t="str">
        <v>False</v>
      </c>
      <c r="E16" s="44" t="n">
        <v>19646</v>
      </c>
      <c r="F16" s="110" t="n">
        <v>2.21</v>
      </c>
      <c r="G16" s="110" t="n">
        <v>2.22</v>
      </c>
      <c r="H16" s="112" t="n">
        <v>1.96</v>
      </c>
      <c r="I16" s="112" t="n">
        <v>2.48</v>
      </c>
      <c r="J16" s="3"/>
    </row>
    <row r="17" ht="27" customHeight="1">
      <c r="A17" s="3"/>
      <c r="B17" s="59" t="str">
        <v>D1</v>
      </c>
      <c r="C17" s="59" t="str">
        <v>DIA-NN/Spectronaut</v>
      </c>
      <c r="D17" s="59" t="str">
        <v>True</v>
      </c>
      <c r="E17" s="45" t="n">
        <v>286</v>
      </c>
      <c r="F17" s="111" t="n">
        <v>5.24</v>
      </c>
      <c r="G17" s="111" t="n">
        <v>5.52</v>
      </c>
      <c r="H17" s="113" t="n">
        <v>2.5</v>
      </c>
      <c r="I17" s="113" t="n">
        <v>10.39</v>
      </c>
      <c r="J17" s="3"/>
    </row>
    <row r="18" ht="27" customHeight="1">
      <c r="A18" s="3"/>
      <c r="B18" s="58" t="str">
        <v>D1</v>
      </c>
      <c r="C18" s="58" t="str">
        <v>DIA-NN/Spectronaut</v>
      </c>
      <c r="D18" s="58" t="str">
        <v>False</v>
      </c>
      <c r="E18" s="44" t="n">
        <v>20398</v>
      </c>
      <c r="F18" s="110" t="n">
        <v>2.29</v>
      </c>
      <c r="G18" s="110" t="n">
        <v>2.29</v>
      </c>
      <c r="H18" s="112" t="n">
        <v>2.05</v>
      </c>
      <c r="I18" s="112" t="n">
        <v>2.56</v>
      </c>
      <c r="J18" s="3"/>
    </row>
    <row r="19" ht="27" customHeight="1">
      <c r="A19" s="3"/>
      <c r="B19" s="59" t="str">
        <v>D1</v>
      </c>
      <c r="C19" s="59" t="str">
        <v>SDRF</v>
      </c>
      <c r="D19" s="59" t="str">
        <v>True</v>
      </c>
      <c r="E19" s="45" t="n">
        <v>205</v>
      </c>
      <c r="F19" s="111" t="n">
        <v>15.61</v>
      </c>
      <c r="G19" s="111" t="n">
        <v>17.34</v>
      </c>
      <c r="H19" s="113" t="n">
        <v>9.39</v>
      </c>
      <c r="I19" s="113" t="n">
        <v>25.95</v>
      </c>
      <c r="J19" s="3"/>
    </row>
    <row r="20" ht="27" customHeight="1">
      <c r="A20" s="3"/>
      <c r="B20" s="58" t="str">
        <v>D1</v>
      </c>
      <c r="C20" s="58" t="str">
        <v>SDRF</v>
      </c>
      <c r="D20" s="58" t="str">
        <v>False</v>
      </c>
      <c r="E20" s="44" t="n">
        <v>20479</v>
      </c>
      <c r="F20" s="110" t="n">
        <v>2.2</v>
      </c>
      <c r="G20" s="110" t="n">
        <v>2.21</v>
      </c>
      <c r="H20" s="112" t="n">
        <v>1.95</v>
      </c>
      <c r="I20" s="112" t="n">
        <v>2.46</v>
      </c>
      <c r="J20" s="3"/>
    </row>
    <row r="21" ht="39" customHeight="1">
      <c r="A21" s="3"/>
      <c r="B21" s="59" t="str">
        <v>D1</v>
      </c>
      <c r="C21" s="59" t="str">
        <v>Results identifiable from files</v>
      </c>
      <c r="D21" s="59" t="str">
        <v>True</v>
      </c>
      <c r="E21" s="45" t="n">
        <v>18068</v>
      </c>
      <c r="F21" s="111" t="n">
        <v>2.29</v>
      </c>
      <c r="G21" s="111" t="n">
        <v>2.29</v>
      </c>
      <c r="H21" s="113" t="n">
        <v>2</v>
      </c>
      <c r="I21" s="113" t="n">
        <v>2.57</v>
      </c>
      <c r="J21" s="3"/>
    </row>
    <row r="22" ht="39" customHeight="1">
      <c r="A22" s="3"/>
      <c r="B22" s="58" t="str">
        <v>D1</v>
      </c>
      <c r="C22" s="58" t="str">
        <v>Results identifiable from files</v>
      </c>
      <c r="D22" s="58" t="str">
        <v>False</v>
      </c>
      <c r="E22" s="44" t="n">
        <v>2616</v>
      </c>
      <c r="F22" s="110" t="n">
        <v>2.64</v>
      </c>
      <c r="G22" s="110" t="n">
        <v>2.72</v>
      </c>
      <c r="H22" s="112" t="n">
        <v>2.01</v>
      </c>
      <c r="I22" s="112" t="n">
        <v>3.43</v>
      </c>
      <c r="J22" s="3"/>
    </row>
    <row r="23" ht="27" customHeight="1">
      <c r="A23" s="3"/>
      <c r="B23" s="59" t="str">
        <v>D1</v>
      </c>
      <c r="C23" s="59" t="str">
        <v>Human</v>
      </c>
      <c r="D23" s="59" t="str">
        <v>True</v>
      </c>
      <c r="E23" s="45" t="n">
        <v>9366</v>
      </c>
      <c r="F23" s="111" t="n">
        <v>3.05</v>
      </c>
      <c r="G23" s="111" t="n">
        <v>3.05</v>
      </c>
      <c r="H23" s="113" t="n">
        <v>2.62</v>
      </c>
      <c r="I23" s="113" t="n">
        <v>3.49</v>
      </c>
      <c r="J23" s="3"/>
    </row>
    <row r="24" ht="27" customHeight="1">
      <c r="A24" s="3"/>
      <c r="B24" s="58" t="str">
        <v>D1</v>
      </c>
      <c r="C24" s="58" t="str">
        <v>Human</v>
      </c>
      <c r="D24" s="58" t="str">
        <v>False</v>
      </c>
      <c r="E24" s="44" t="n">
        <v>11318</v>
      </c>
      <c r="F24" s="110" t="n">
        <v>1.74</v>
      </c>
      <c r="G24" s="110" t="n">
        <v>1.74</v>
      </c>
      <c r="H24" s="112" t="n">
        <v>1.46</v>
      </c>
      <c r="I24" s="112" t="n">
        <v>2.03</v>
      </c>
      <c r="J24" s="3"/>
    </row>
    <row r="25" ht="27" customHeight="1">
      <c r="A25" s="3"/>
      <c r="B25" s="59" t="str">
        <v>D1</v>
      </c>
      <c r="C25" s="59" t="str">
        <v>family</v>
      </c>
      <c r="D25" s="59" t="str">
        <v>MaxQuant</v>
      </c>
      <c r="E25" s="45" t="n">
        <v>7360</v>
      </c>
      <c r="F25" s="111" t="n">
        <v>2.66</v>
      </c>
      <c r="G25" s="111" t="n">
        <v>2.61</v>
      </c>
      <c r="H25" s="113" t="n">
        <v>2.15</v>
      </c>
      <c r="I25" s="113" t="n">
        <v>3.13</v>
      </c>
      <c r="J25" s="3"/>
    </row>
    <row r="26" ht="27" customHeight="1">
      <c r="A26" s="3"/>
      <c r="B26" s="58" t="str">
        <v>D1</v>
      </c>
      <c r="C26" s="58" t="str">
        <v>family</v>
      </c>
      <c r="D26" s="58" t="str">
        <v>Other tools only</v>
      </c>
      <c r="E26" s="44" t="n">
        <v>3015</v>
      </c>
      <c r="F26" s="110" t="n">
        <v>2.55</v>
      </c>
      <c r="G26" s="110" t="n">
        <v>2.6</v>
      </c>
      <c r="H26" s="112" t="n">
        <v>1.92</v>
      </c>
      <c r="I26" s="112" t="n">
        <v>3.32</v>
      </c>
      <c r="J26" s="3"/>
    </row>
    <row r="27" ht="27" customHeight="1">
      <c r="A27" s="3"/>
      <c r="B27" s="59" t="str">
        <v>D1</v>
      </c>
      <c r="C27" s="59" t="str">
        <v>family</v>
      </c>
      <c r="D27" s="59" t="str">
        <v>Several of these</v>
      </c>
      <c r="E27" s="45" t="n">
        <v>2734</v>
      </c>
      <c r="F27" s="111" t="n">
        <v>2.05</v>
      </c>
      <c r="G27" s="111" t="n">
        <v>2.05</v>
      </c>
      <c r="H27" s="113" t="n">
        <v>1.46</v>
      </c>
      <c r="I27" s="113" t="n">
        <v>2.68</v>
      </c>
      <c r="J27" s="3"/>
    </row>
    <row r="28" ht="27" customHeight="1">
      <c r="A28" s="3"/>
      <c r="B28" s="58" t="str">
        <v>D1</v>
      </c>
      <c r="C28" s="58" t="str">
        <v>family</v>
      </c>
      <c r="D28" s="58" t="str">
        <v>Mascot</v>
      </c>
      <c r="E28" s="44" t="n">
        <v>2577</v>
      </c>
      <c r="F28" s="110" t="n">
        <v>1.75</v>
      </c>
      <c r="G28" s="110" t="n">
        <v>1.83</v>
      </c>
      <c r="H28" s="112" t="n">
        <v>1.31</v>
      </c>
      <c r="I28" s="112" t="n">
        <v>2.45</v>
      </c>
      <c r="J28" s="3"/>
    </row>
    <row r="29" ht="27" customHeight="1">
      <c r="A29" s="3"/>
      <c r="B29" s="59" t="str">
        <v>D1</v>
      </c>
      <c r="C29" s="59" t="str">
        <v>family</v>
      </c>
      <c r="D29" s="59" t="str">
        <v>Proteome Discoverer</v>
      </c>
      <c r="E29" s="45" t="n">
        <v>2478</v>
      </c>
      <c r="F29" s="111" t="n">
        <v>1.78</v>
      </c>
      <c r="G29" s="111" t="n">
        <v>1.84</v>
      </c>
      <c r="H29" s="113" t="n">
        <v>1.33</v>
      </c>
      <c r="I29" s="113" t="n">
        <v>2.4</v>
      </c>
      <c r="J29" s="3"/>
    </row>
    <row r="30" ht="27" customHeight="1">
      <c r="A30" s="3"/>
      <c r="B30" s="58" t="str">
        <v>D1</v>
      </c>
      <c r="C30" s="58" t="str">
        <v>family</v>
      </c>
      <c r="D30" s="58" t="str">
        <v>No tool named</v>
      </c>
      <c r="E30" s="44" t="n">
        <v>2168</v>
      </c>
      <c r="F30" s="110" t="n">
        <v>1.98</v>
      </c>
      <c r="G30" s="110" t="n">
        <v>1.67</v>
      </c>
      <c r="H30" s="112" t="n">
        <v>1.09</v>
      </c>
      <c r="I30" s="112" t="n">
        <v>2.27</v>
      </c>
      <c r="J30" s="3"/>
    </row>
    <row r="31" ht="27" customHeight="1">
      <c r="A31" s="3"/>
      <c r="B31" s="59" t="str">
        <v>D1</v>
      </c>
      <c r="C31" s="59" t="str">
        <v>family</v>
      </c>
      <c r="D31" s="59" t="str">
        <v>Spectronaut</v>
      </c>
      <c r="E31" s="45" t="n">
        <v>234</v>
      </c>
      <c r="F31" s="111" t="n">
        <v>5.13</v>
      </c>
      <c r="G31" s="111" t="n">
        <v>5.57</v>
      </c>
      <c r="H31" s="113" t="n">
        <v>2.15</v>
      </c>
      <c r="I31" s="113" t="n">
        <v>10.74</v>
      </c>
      <c r="J31" s="3"/>
    </row>
    <row r="32" ht="27" customHeight="1">
      <c r="A32" s="3"/>
      <c r="B32" s="58" t="str">
        <v>D1</v>
      </c>
      <c r="C32" s="58" t="str">
        <v>family</v>
      </c>
      <c r="D32" s="58" t="str">
        <v>FragPipe</v>
      </c>
      <c r="E32" s="44" t="n">
        <v>66</v>
      </c>
      <c r="F32" s="110" t="n">
        <v>10.61</v>
      </c>
      <c r="G32" s="110" t="n">
        <v>13.64</v>
      </c>
      <c r="H32" s="112" t="n">
        <v>2.26</v>
      </c>
      <c r="I32" s="112" t="n">
        <v>26.47</v>
      </c>
      <c r="J32" s="3"/>
    </row>
    <row r="33" ht="27" customHeight="1">
      <c r="A33" s="3"/>
      <c r="B33" s="59" t="str">
        <v>D1</v>
      </c>
      <c r="C33" s="59" t="str">
        <v>country</v>
      </c>
      <c r="D33" s="59" t="str">
        <v>United States</v>
      </c>
      <c r="E33" s="45" t="n">
        <v>3030</v>
      </c>
      <c r="F33" s="111" t="n">
        <v>2.11</v>
      </c>
      <c r="G33" s="111" t="n">
        <v>2.04</v>
      </c>
      <c r="H33" s="113" t="n">
        <v>1.43</v>
      </c>
      <c r="I33" s="113" t="n">
        <v>2.76</v>
      </c>
      <c r="J33" s="3"/>
    </row>
    <row r="34" ht="27" customHeight="1">
      <c r="A34" s="3"/>
      <c r="B34" s="58" t="str">
        <v>D1</v>
      </c>
      <c r="C34" s="58" t="str">
        <v>country</v>
      </c>
      <c r="D34" s="58" t="str">
        <v>Germany</v>
      </c>
      <c r="E34" s="44" t="n">
        <v>2655</v>
      </c>
      <c r="F34" s="110" t="n">
        <v>3.39</v>
      </c>
      <c r="G34" s="110" t="n">
        <v>3.43</v>
      </c>
      <c r="H34" s="112" t="n">
        <v>2.47</v>
      </c>
      <c r="I34" s="112" t="n">
        <v>4.54</v>
      </c>
      <c r="J34" s="3"/>
    </row>
    <row r="35" ht="27" customHeight="1">
      <c r="A35" s="3"/>
      <c r="B35" s="59" t="str">
        <v>D1</v>
      </c>
      <c r="C35" s="59" t="str">
        <v>country</v>
      </c>
      <c r="D35" s="59" t="str">
        <v>China</v>
      </c>
      <c r="E35" s="45" t="n">
        <v>1645</v>
      </c>
      <c r="F35" s="111" t="n">
        <v>1.82</v>
      </c>
      <c r="G35" s="111" t="n">
        <v>2.12</v>
      </c>
      <c r="H35" s="113" t="n">
        <v>1.18</v>
      </c>
      <c r="I35" s="113" t="n">
        <v>2.84</v>
      </c>
      <c r="J35" s="3"/>
    </row>
    <row r="36" ht="27" customHeight="1">
      <c r="A36" s="3"/>
      <c r="B36" s="58" t="str">
        <v>D1</v>
      </c>
      <c r="C36" s="58" t="str">
        <v>country</v>
      </c>
      <c r="D36" s="58" t="str">
        <v>United Kingdom</v>
      </c>
      <c r="E36" s="44" t="n">
        <v>1315</v>
      </c>
      <c r="F36" s="110" t="n">
        <v>2.36</v>
      </c>
      <c r="G36" s="110" t="n">
        <v>2.35</v>
      </c>
      <c r="H36" s="112" t="n">
        <v>1.53</v>
      </c>
      <c r="I36" s="112" t="n">
        <v>3.16</v>
      </c>
      <c r="J36" s="3"/>
    </row>
    <row r="37" ht="27" customHeight="1">
      <c r="A37" s="3"/>
      <c r="B37" s="59" t="str">
        <v>D1</v>
      </c>
      <c r="C37" s="59" t="str">
        <v>country</v>
      </c>
      <c r="D37" s="59" t="str">
        <v>France</v>
      </c>
      <c r="E37" s="45" t="n">
        <v>841</v>
      </c>
      <c r="F37" s="111" t="n">
        <v>2.85</v>
      </c>
      <c r="G37" s="111" t="n">
        <v>2.45</v>
      </c>
      <c r="H37" s="113" t="n">
        <v>1.44</v>
      </c>
      <c r="I37" s="113" t="n">
        <v>3.51</v>
      </c>
      <c r="J37" s="3"/>
    </row>
    <row r="38" ht="27" customHeight="1">
      <c r="A38" s="3"/>
      <c r="B38" s="58" t="str">
        <v>D1</v>
      </c>
      <c r="C38" s="58" t="str">
        <v>country</v>
      </c>
      <c r="D38" s="58" t="str">
        <v>Australia</v>
      </c>
      <c r="E38" s="44" t="n">
        <v>605</v>
      </c>
      <c r="F38" s="110" t="n">
        <v>2.48</v>
      </c>
      <c r="G38" s="110" t="n">
        <v>2.57</v>
      </c>
      <c r="H38" s="112" t="n">
        <v>1.31</v>
      </c>
      <c r="I38" s="112" t="n">
        <v>4.01</v>
      </c>
      <c r="J38" s="3"/>
    </row>
    <row r="39" ht="27" customHeight="1">
      <c r="A39" s="3"/>
      <c r="B39" s="59" t="str">
        <v>D1</v>
      </c>
      <c r="C39" s="59" t="str">
        <v>country</v>
      </c>
      <c r="D39" s="59" t="str">
        <v>Netherlands</v>
      </c>
      <c r="E39" s="45" t="n">
        <v>576</v>
      </c>
      <c r="F39" s="111" t="n">
        <v>2.08</v>
      </c>
      <c r="G39" s="111" t="n">
        <v>2.24</v>
      </c>
      <c r="H39" s="113" t="n">
        <v>0.75</v>
      </c>
      <c r="I39" s="113" t="n">
        <v>4.22</v>
      </c>
      <c r="J39" s="3"/>
    </row>
    <row r="40" ht="27" customHeight="1">
      <c r="A40" s="3"/>
      <c r="B40" s="58" t="str">
        <v>D1</v>
      </c>
      <c r="C40" s="58" t="str">
        <v>country</v>
      </c>
      <c r="D40" s="58" t="str">
        <v>Switzerland</v>
      </c>
      <c r="E40" s="44" t="n">
        <v>512</v>
      </c>
      <c r="F40" s="110" t="n">
        <v>5.08</v>
      </c>
      <c r="G40" s="110" t="n">
        <v>4.4</v>
      </c>
      <c r="H40" s="112" t="n">
        <v>1.96</v>
      </c>
      <c r="I40" s="112" t="n">
        <v>7.04</v>
      </c>
      <c r="J40" s="3"/>
    </row>
    <row r="41" ht="27" customHeight="1">
      <c r="A41" s="3"/>
      <c r="B41" s="59" t="str">
        <v>D1</v>
      </c>
      <c r="C41" s="59" t="str">
        <v>country</v>
      </c>
      <c r="D41" s="59" t="str">
        <v>Spain</v>
      </c>
      <c r="E41" s="45" t="n">
        <v>470</v>
      </c>
      <c r="F41" s="111" t="n">
        <v>1.91</v>
      </c>
      <c r="G41" s="111" t="n">
        <v>1.65</v>
      </c>
      <c r="H41" s="113" t="n">
        <v>0.64</v>
      </c>
      <c r="I41" s="113" t="n">
        <v>3.18</v>
      </c>
      <c r="J41" s="3"/>
    </row>
    <row r="42" ht="27" customHeight="1">
      <c r="A42" s="3"/>
      <c r="B42" s="58" t="str">
        <v>D1</v>
      </c>
      <c r="C42" s="58" t="str">
        <v>country</v>
      </c>
      <c r="D42" s="58" t="str">
        <v>Canada</v>
      </c>
      <c r="E42" s="44" t="n">
        <v>435</v>
      </c>
      <c r="F42" s="110" t="n">
        <v>2.3</v>
      </c>
      <c r="G42" s="110" t="n">
        <v>2.19</v>
      </c>
      <c r="H42" s="112" t="n">
        <v>0.84</v>
      </c>
      <c r="I42" s="112" t="n">
        <v>3.84</v>
      </c>
      <c r="J42" s="3"/>
    </row>
    <row r="43" ht="27" customHeight="1">
      <c r="A43" s="3"/>
      <c r="B43" s="59" t="str">
        <v>D1</v>
      </c>
      <c r="C43" s="59" t="str">
        <v>country</v>
      </c>
      <c r="D43" s="59" t="str">
        <v>Denmark</v>
      </c>
      <c r="E43" s="45" t="n">
        <v>404</v>
      </c>
      <c r="F43" s="111" t="n">
        <v>4.7</v>
      </c>
      <c r="G43" s="111" t="n">
        <v>4.08</v>
      </c>
      <c r="H43" s="113" t="n">
        <v>2.2</v>
      </c>
      <c r="I43" s="113" t="n">
        <v>6.29</v>
      </c>
      <c r="J43" s="3"/>
    </row>
    <row r="44" ht="27" customHeight="1">
      <c r="A44" s="3"/>
      <c r="B44" s="58" t="str">
        <v>D1</v>
      </c>
      <c r="C44" s="58" t="str">
        <v>country</v>
      </c>
      <c r="D44" s="58" t="str">
        <v>Austria</v>
      </c>
      <c r="E44" s="44" t="n">
        <v>354</v>
      </c>
      <c r="F44" s="110" t="n">
        <v>1.41</v>
      </c>
      <c r="G44" s="110" t="n">
        <v>2.63</v>
      </c>
      <c r="H44" s="112" t="n">
        <v>0.34</v>
      </c>
      <c r="I44" s="112" t="n">
        <v>6.03</v>
      </c>
      <c r="J44" s="3"/>
    </row>
    <row r="45" ht="27" customHeight="1">
      <c r="A45" s="3"/>
      <c r="B45" s="59" t="str">
        <v>D1</v>
      </c>
      <c r="C45" s="59" t="str">
        <v>vendor_single</v>
      </c>
      <c r="D45" s="59" t="str">
        <v>Thermo Fisher</v>
      </c>
      <c r="E45" s="45" t="n">
        <v>17574</v>
      </c>
      <c r="F45" s="111" t="n">
        <v>2.45</v>
      </c>
      <c r="G45" s="111" t="n">
        <v>2.44</v>
      </c>
      <c r="H45" s="113" t="n">
        <v>2.15</v>
      </c>
      <c r="I45" s="113" t="n">
        <v>2.73</v>
      </c>
      <c r="J45" s="3"/>
    </row>
    <row r="46" ht="27" customHeight="1">
      <c r="A46" s="3"/>
      <c r="B46" s="58" t="str">
        <v>D1</v>
      </c>
      <c r="C46" s="58" t="str">
        <v>vendor_single</v>
      </c>
      <c r="D46" s="58" t="str">
        <v>SCIEX</v>
      </c>
      <c r="E46" s="44" t="n">
        <v>1232</v>
      </c>
      <c r="F46" s="110" t="n">
        <v>1.95</v>
      </c>
      <c r="G46" s="110" t="n">
        <v>1.88</v>
      </c>
      <c r="H46" s="112" t="n">
        <v>0.88</v>
      </c>
      <c r="I46" s="112" t="n">
        <v>2.73</v>
      </c>
      <c r="J46" s="3"/>
    </row>
    <row r="47" ht="27" customHeight="1">
      <c r="A47" s="3"/>
      <c r="B47" s="59" t="str">
        <v>D1</v>
      </c>
      <c r="C47" s="59" t="str">
        <v>vendor_single</v>
      </c>
      <c r="D47" s="59" t="str">
        <v>Bruker</v>
      </c>
      <c r="E47" s="45" t="n">
        <v>726</v>
      </c>
      <c r="F47" s="111" t="n">
        <v>2.34</v>
      </c>
      <c r="G47" s="111" t="n">
        <v>1.92</v>
      </c>
      <c r="H47" s="113" t="n">
        <v>0.91</v>
      </c>
      <c r="I47" s="113" t="n">
        <v>3.19</v>
      </c>
      <c r="J47" s="3"/>
    </row>
    <row r="48" ht="27" customHeight="1">
      <c r="A48" s="3"/>
      <c r="B48" s="58" t="str">
        <v>D1</v>
      </c>
      <c r="C48" s="58" t="str">
        <v>vendor_single</v>
      </c>
      <c r="D48" s="58" t="str">
        <v>Waters</v>
      </c>
      <c r="E48" s="44" t="n">
        <v>489</v>
      </c>
      <c r="F48" s="110" t="n">
        <v>0.2</v>
      </c>
      <c r="G48" s="110" t="n">
        <v>0.22</v>
      </c>
      <c r="H48" s="112" t="n">
        <v>0</v>
      </c>
      <c r="I48" s="112" t="n">
        <v>0.76</v>
      </c>
      <c r="J48" s="3"/>
    </row>
    <row r="49" ht="27" customHeight="1">
      <c r="A49" s="3"/>
      <c r="B49" s="59" t="str">
        <v>D1</v>
      </c>
      <c r="C49" s="59" t="str">
        <v>vendor_single</v>
      </c>
      <c r="D49" s="59" t="str">
        <v>Multiple</v>
      </c>
      <c r="E49" s="45" t="n">
        <v>355</v>
      </c>
      <c r="F49" s="111" t="n">
        <v>2.25</v>
      </c>
      <c r="G49" s="111" t="n">
        <v>2.96</v>
      </c>
      <c r="H49" s="113" t="n">
        <v>1.04</v>
      </c>
      <c r="I49" s="113" t="n">
        <v>5.25</v>
      </c>
      <c r="J49" s="3"/>
    </row>
    <row r="50" ht="27" customHeight="1">
      <c r="A50" s="3"/>
      <c r="B50" s="58" t="str">
        <v>D2</v>
      </c>
      <c r="C50" s="58" t="str">
        <v>All</v>
      </c>
      <c r="D50" s="58" t="str">
        <v>all</v>
      </c>
      <c r="E50" s="44" t="n">
        <v>20684</v>
      </c>
      <c r="F50" s="110" t="n">
        <v>2.9</v>
      </c>
      <c r="G50" s="110" t="n">
        <v>2.9</v>
      </c>
      <c r="H50" s="112" t="n">
        <v>2.6</v>
      </c>
      <c r="I50" s="112" t="n">
        <v>3.26</v>
      </c>
      <c r="J50" s="3"/>
    </row>
    <row r="51" ht="27" customHeight="1">
      <c r="A51" s="3"/>
      <c r="B51" s="59" t="str">
        <v>D2</v>
      </c>
      <c r="C51" s="59" t="str">
        <v>Standard files</v>
      </c>
      <c r="D51" s="59" t="str">
        <v>True</v>
      </c>
      <c r="E51" s="45" t="n">
        <v>3793</v>
      </c>
      <c r="F51" s="111" t="n">
        <v>2.66</v>
      </c>
      <c r="G51" s="111" t="n">
        <v>2.72</v>
      </c>
      <c r="H51" s="113" t="n">
        <v>2.14</v>
      </c>
      <c r="I51" s="113" t="n">
        <v>3.31</v>
      </c>
      <c r="J51" s="3"/>
    </row>
    <row r="52" ht="27" customHeight="1">
      <c r="A52" s="3"/>
      <c r="B52" s="58" t="str">
        <v>D2</v>
      </c>
      <c r="C52" s="58" t="str">
        <v>Standard files</v>
      </c>
      <c r="D52" s="58" t="str">
        <v>False</v>
      </c>
      <c r="E52" s="44" t="n">
        <v>16891</v>
      </c>
      <c r="F52" s="110" t="n">
        <v>2.95</v>
      </c>
      <c r="G52" s="110" t="n">
        <v>2.94</v>
      </c>
      <c r="H52" s="112" t="n">
        <v>2.62</v>
      </c>
      <c r="I52" s="112" t="n">
        <v>3.36</v>
      </c>
      <c r="J52" s="3"/>
    </row>
    <row r="53" ht="27" customHeight="1">
      <c r="A53" s="3"/>
      <c r="B53" s="59" t="str">
        <v>D2</v>
      </c>
      <c r="C53" s="59" t="str">
        <v>Thermo Fisher only</v>
      </c>
      <c r="D53" s="59" t="str">
        <v>True</v>
      </c>
      <c r="E53" s="45" t="n">
        <v>17574</v>
      </c>
      <c r="F53" s="111" t="n">
        <v>2.97</v>
      </c>
      <c r="G53" s="111" t="n">
        <v>2.96</v>
      </c>
      <c r="H53" s="113" t="n">
        <v>2.66</v>
      </c>
      <c r="I53" s="113" t="n">
        <v>3.31</v>
      </c>
      <c r="J53" s="3"/>
    </row>
    <row r="54" ht="27" customHeight="1">
      <c r="A54" s="3"/>
      <c r="B54" s="58" t="str">
        <v>D2</v>
      </c>
      <c r="C54" s="58" t="str">
        <v>Thermo Fisher only</v>
      </c>
      <c r="D54" s="58" t="str">
        <v>False</v>
      </c>
      <c r="E54" s="44" t="n">
        <v>3110</v>
      </c>
      <c r="F54" s="110" t="n">
        <v>2.51</v>
      </c>
      <c r="G54" s="110" t="n">
        <v>2.67</v>
      </c>
      <c r="H54" s="112" t="n">
        <v>1.89</v>
      </c>
      <c r="I54" s="112" t="n">
        <v>3.53</v>
      </c>
      <c r="J54" s="3"/>
    </row>
    <row r="55" ht="27" customHeight="1">
      <c r="A55" s="3"/>
      <c r="B55" s="59" t="str">
        <v>D2</v>
      </c>
      <c r="C55" s="59" t="str">
        <v>Bruker</v>
      </c>
      <c r="D55" s="59" t="str">
        <v>True</v>
      </c>
      <c r="E55" s="45" t="n">
        <v>726</v>
      </c>
      <c r="F55" s="111" t="n">
        <v>3.17</v>
      </c>
      <c r="G55" s="111" t="n">
        <v>2.83</v>
      </c>
      <c r="H55" s="113" t="n">
        <v>1.4</v>
      </c>
      <c r="I55" s="113" t="n">
        <v>5.04</v>
      </c>
      <c r="J55" s="3"/>
    </row>
    <row r="56" ht="27" customHeight="1">
      <c r="A56" s="3"/>
      <c r="B56" s="58" t="str">
        <v>D2</v>
      </c>
      <c r="C56" s="58" t="str">
        <v>Bruker</v>
      </c>
      <c r="D56" s="58" t="str">
        <v>False</v>
      </c>
      <c r="E56" s="44" t="n">
        <v>19958</v>
      </c>
      <c r="F56" s="110" t="n">
        <v>2.89</v>
      </c>
      <c r="G56" s="110" t="n">
        <v>2.89</v>
      </c>
      <c r="H56" s="112" t="n">
        <v>2.63</v>
      </c>
      <c r="I56" s="112" t="n">
        <v>3.2</v>
      </c>
      <c r="J56" s="3"/>
    </row>
    <row r="57" ht="27" customHeight="1">
      <c r="A57" s="3"/>
      <c r="B57" s="59" t="str">
        <v>D2</v>
      </c>
      <c r="C57" s="59" t="str">
        <v>DIA</v>
      </c>
      <c r="D57" s="59" t="str">
        <v>True</v>
      </c>
      <c r="E57" s="45" t="n">
        <v>1038</v>
      </c>
      <c r="F57" s="111" t="n">
        <v>6.55</v>
      </c>
      <c r="G57" s="111" t="n">
        <v>6.41</v>
      </c>
      <c r="H57" s="113" t="n">
        <v>4.44</v>
      </c>
      <c r="I57" s="113" t="n">
        <v>8.09</v>
      </c>
      <c r="J57" s="3"/>
    </row>
    <row r="58" ht="27" customHeight="1">
      <c r="A58" s="3"/>
      <c r="B58" s="58" t="str">
        <v>D2</v>
      </c>
      <c r="C58" s="58" t="str">
        <v>DIA</v>
      </c>
      <c r="D58" s="58" t="str">
        <v>False</v>
      </c>
      <c r="E58" s="44" t="n">
        <v>19646</v>
      </c>
      <c r="F58" s="110" t="n">
        <v>2.71</v>
      </c>
      <c r="G58" s="110" t="n">
        <v>2.71</v>
      </c>
      <c r="H58" s="112" t="n">
        <v>2.44</v>
      </c>
      <c r="I58" s="112" t="n">
        <v>3.03</v>
      </c>
      <c r="J58" s="3"/>
    </row>
    <row r="59" ht="27" customHeight="1">
      <c r="A59" s="3"/>
      <c r="B59" s="59" t="str">
        <v>D2</v>
      </c>
      <c r="C59" s="59" t="str">
        <v>DIA-NN/Spectronaut</v>
      </c>
      <c r="D59" s="59" t="str">
        <v>True</v>
      </c>
      <c r="E59" s="45" t="n">
        <v>286</v>
      </c>
      <c r="F59" s="111" t="n">
        <v>6.99</v>
      </c>
      <c r="G59" s="111" t="n">
        <v>9.09</v>
      </c>
      <c r="H59" s="113" t="n">
        <v>3.47</v>
      </c>
      <c r="I59" s="113" t="n">
        <v>16.96</v>
      </c>
      <c r="J59" s="3"/>
    </row>
    <row r="60" ht="27" customHeight="1">
      <c r="A60" s="3"/>
      <c r="B60" s="58" t="str">
        <v>D2</v>
      </c>
      <c r="C60" s="58" t="str">
        <v>DIA-NN/Spectronaut</v>
      </c>
      <c r="D60" s="58" t="str">
        <v>False</v>
      </c>
      <c r="E60" s="44" t="n">
        <v>20398</v>
      </c>
      <c r="F60" s="110" t="n">
        <v>2.84</v>
      </c>
      <c r="G60" s="110" t="n">
        <v>2.84</v>
      </c>
      <c r="H60" s="112" t="n">
        <v>2.54</v>
      </c>
      <c r="I60" s="112" t="n">
        <v>3.19</v>
      </c>
      <c r="J60" s="3"/>
    </row>
    <row r="61" ht="27" customHeight="1">
      <c r="A61" s="3"/>
      <c r="B61" s="59" t="str">
        <v>D2</v>
      </c>
      <c r="C61" s="59" t="str">
        <v>SDRF</v>
      </c>
      <c r="D61" s="59" t="str">
        <v>True</v>
      </c>
      <c r="E61" s="45" t="n">
        <v>205</v>
      </c>
      <c r="F61" s="111" t="n">
        <v>12.68</v>
      </c>
      <c r="G61" s="111" t="n">
        <v>16.56</v>
      </c>
      <c r="H61" s="113" t="n">
        <v>8.93</v>
      </c>
      <c r="I61" s="113" t="n">
        <v>24.82</v>
      </c>
      <c r="J61" s="3"/>
    </row>
    <row r="62" ht="27" customHeight="1">
      <c r="A62" s="3"/>
      <c r="B62" s="58" t="str">
        <v>D2</v>
      </c>
      <c r="C62" s="58" t="str">
        <v>SDRF</v>
      </c>
      <c r="D62" s="58" t="str">
        <v>False</v>
      </c>
      <c r="E62" s="44" t="n">
        <v>20479</v>
      </c>
      <c r="F62" s="110" t="n">
        <v>2.8</v>
      </c>
      <c r="G62" s="110" t="n">
        <v>2.81</v>
      </c>
      <c r="H62" s="112" t="n">
        <v>2.51</v>
      </c>
      <c r="I62" s="112" t="n">
        <v>3.13</v>
      </c>
      <c r="J62" s="3"/>
    </row>
    <row r="63" ht="39" customHeight="1">
      <c r="A63" s="3"/>
      <c r="B63" s="59" t="str">
        <v>D2</v>
      </c>
      <c r="C63" s="59" t="str">
        <v>Results identifiable from files</v>
      </c>
      <c r="D63" s="59" t="str">
        <v>True</v>
      </c>
      <c r="E63" s="45" t="n">
        <v>18068</v>
      </c>
      <c r="F63" s="111" t="n">
        <v>2.79</v>
      </c>
      <c r="G63" s="111" t="n">
        <v>2.79</v>
      </c>
      <c r="H63" s="113" t="n">
        <v>2.47</v>
      </c>
      <c r="I63" s="113" t="n">
        <v>3.15</v>
      </c>
      <c r="J63" s="3"/>
    </row>
    <row r="64" ht="39" customHeight="1">
      <c r="A64" s="3"/>
      <c r="B64" s="58" t="str">
        <v>D2</v>
      </c>
      <c r="C64" s="58" t="str">
        <v>Results identifiable from files</v>
      </c>
      <c r="D64" s="58" t="str">
        <v>False</v>
      </c>
      <c r="E64" s="44" t="n">
        <v>2616</v>
      </c>
      <c r="F64" s="110" t="n">
        <v>3.67</v>
      </c>
      <c r="G64" s="110" t="n">
        <v>3.62</v>
      </c>
      <c r="H64" s="112" t="n">
        <v>2.81</v>
      </c>
      <c r="I64" s="112" t="n">
        <v>4.47</v>
      </c>
      <c r="J64" s="3"/>
    </row>
    <row r="65" ht="27" customHeight="1">
      <c r="A65" s="3"/>
      <c r="B65" s="59" t="str">
        <v>D2</v>
      </c>
      <c r="C65" s="59" t="str">
        <v>Human</v>
      </c>
      <c r="D65" s="59" t="str">
        <v>True</v>
      </c>
      <c r="E65" s="45" t="n">
        <v>9366</v>
      </c>
      <c r="F65" s="111" t="n">
        <v>3.87</v>
      </c>
      <c r="G65" s="111" t="n">
        <v>3.87</v>
      </c>
      <c r="H65" s="113" t="n">
        <v>3.32</v>
      </c>
      <c r="I65" s="113" t="n">
        <v>4.44</v>
      </c>
      <c r="J65" s="3"/>
    </row>
    <row r="66" ht="27" customHeight="1">
      <c r="A66" s="3"/>
      <c r="B66" s="58" t="str">
        <v>D2</v>
      </c>
      <c r="C66" s="58" t="str">
        <v>Human</v>
      </c>
      <c r="D66" s="58" t="str">
        <v>False</v>
      </c>
      <c r="E66" s="44" t="n">
        <v>11318</v>
      </c>
      <c r="F66" s="110" t="n">
        <v>2.1</v>
      </c>
      <c r="G66" s="110" t="n">
        <v>2.1</v>
      </c>
      <c r="H66" s="112" t="n">
        <v>1.81</v>
      </c>
      <c r="I66" s="112" t="n">
        <v>2.4</v>
      </c>
      <c r="J66" s="3"/>
    </row>
    <row r="67" ht="27" customHeight="1">
      <c r="A67" s="3"/>
      <c r="B67" s="59" t="str">
        <v>D2</v>
      </c>
      <c r="C67" s="59" t="str">
        <v>family</v>
      </c>
      <c r="D67" s="59" t="str">
        <v>MaxQuant</v>
      </c>
      <c r="E67" s="45" t="n">
        <v>7360</v>
      </c>
      <c r="F67" s="111" t="n">
        <v>2.96</v>
      </c>
      <c r="G67" s="111" t="n">
        <v>2.92</v>
      </c>
      <c r="H67" s="113" t="n">
        <v>2.38</v>
      </c>
      <c r="I67" s="113" t="n">
        <v>3.5</v>
      </c>
      <c r="J67" s="3"/>
    </row>
    <row r="68" ht="27" customHeight="1">
      <c r="A68" s="3"/>
      <c r="B68" s="58" t="str">
        <v>D2</v>
      </c>
      <c r="C68" s="58" t="str">
        <v>family</v>
      </c>
      <c r="D68" s="58" t="str">
        <v>Other tools only</v>
      </c>
      <c r="E68" s="44" t="n">
        <v>3015</v>
      </c>
      <c r="F68" s="110" t="n">
        <v>2.95</v>
      </c>
      <c r="G68" s="110" t="n">
        <v>2.97</v>
      </c>
      <c r="H68" s="112" t="n">
        <v>2.28</v>
      </c>
      <c r="I68" s="112" t="n">
        <v>3.69</v>
      </c>
      <c r="J68" s="3"/>
    </row>
    <row r="69" ht="27" customHeight="1">
      <c r="A69" s="3"/>
      <c r="B69" s="59" t="str">
        <v>D2</v>
      </c>
      <c r="C69" s="59" t="str">
        <v>family</v>
      </c>
      <c r="D69" s="59" t="str">
        <v>Several of these</v>
      </c>
      <c r="E69" s="45" t="n">
        <v>2734</v>
      </c>
      <c r="F69" s="111" t="n">
        <v>3.15</v>
      </c>
      <c r="G69" s="111" t="n">
        <v>2.99</v>
      </c>
      <c r="H69" s="113" t="n">
        <v>2.36</v>
      </c>
      <c r="I69" s="113" t="n">
        <v>3.75</v>
      </c>
      <c r="J69" s="3"/>
    </row>
    <row r="70" ht="27" customHeight="1">
      <c r="A70" s="3"/>
      <c r="B70" s="58" t="str">
        <v>D2</v>
      </c>
      <c r="C70" s="58" t="str">
        <v>family</v>
      </c>
      <c r="D70" s="58" t="str">
        <v>Mascot</v>
      </c>
      <c r="E70" s="44" t="n">
        <v>2577</v>
      </c>
      <c r="F70" s="110" t="n">
        <v>1.9</v>
      </c>
      <c r="G70" s="110" t="n">
        <v>2.03</v>
      </c>
      <c r="H70" s="112" t="n">
        <v>1.41</v>
      </c>
      <c r="I70" s="112" t="n">
        <v>2.63</v>
      </c>
      <c r="J70" s="3"/>
    </row>
    <row r="71" ht="27" customHeight="1">
      <c r="A71" s="3"/>
      <c r="B71" s="59" t="str">
        <v>D2</v>
      </c>
      <c r="C71" s="59" t="str">
        <v>family</v>
      </c>
      <c r="D71" s="59" t="str">
        <v>Proteome Discoverer</v>
      </c>
      <c r="E71" s="45" t="n">
        <v>2478</v>
      </c>
      <c r="F71" s="111" t="n">
        <v>2.99</v>
      </c>
      <c r="G71" s="111" t="n">
        <v>2.99</v>
      </c>
      <c r="H71" s="113" t="n">
        <v>2.24</v>
      </c>
      <c r="I71" s="113" t="n">
        <v>3.79</v>
      </c>
      <c r="J71" s="3"/>
    </row>
    <row r="72" ht="27" customHeight="1">
      <c r="A72" s="3"/>
      <c r="B72" s="58" t="str">
        <v>D2</v>
      </c>
      <c r="C72" s="58" t="str">
        <v>family</v>
      </c>
      <c r="D72" s="58" t="str">
        <v>No tool named</v>
      </c>
      <c r="E72" s="44" t="n">
        <v>2168</v>
      </c>
      <c r="F72" s="110" t="n">
        <v>2.77</v>
      </c>
      <c r="G72" s="110" t="n">
        <v>2.52</v>
      </c>
      <c r="H72" s="112" t="n">
        <v>1.81</v>
      </c>
      <c r="I72" s="112" t="n">
        <v>3.27</v>
      </c>
      <c r="J72" s="3"/>
    </row>
    <row r="73" ht="27" customHeight="1">
      <c r="A73" s="3"/>
      <c r="B73" s="59" t="str">
        <v>D2</v>
      </c>
      <c r="C73" s="59" t="str">
        <v>family</v>
      </c>
      <c r="D73" s="59" t="str">
        <v>Spectronaut</v>
      </c>
      <c r="E73" s="45" t="n">
        <v>234</v>
      </c>
      <c r="F73" s="111" t="n">
        <v>7.69</v>
      </c>
      <c r="G73" s="111" t="n">
        <v>9.51</v>
      </c>
      <c r="H73" s="113" t="n">
        <v>4.11</v>
      </c>
      <c r="I73" s="113" t="n">
        <v>16.83</v>
      </c>
      <c r="J73" s="3"/>
    </row>
    <row r="74" ht="27" customHeight="1">
      <c r="A74" s="3"/>
      <c r="B74" s="58" t="str">
        <v>D2</v>
      </c>
      <c r="C74" s="58" t="str">
        <v>family</v>
      </c>
      <c r="D74" s="58" t="str">
        <v>FragPipe</v>
      </c>
      <c r="E74" s="44" t="n">
        <v>66</v>
      </c>
      <c r="F74" s="110" t="n">
        <v>6.06</v>
      </c>
      <c r="G74" s="110" t="n">
        <v>3.21</v>
      </c>
      <c r="H74" s="112" t="n">
        <v>0</v>
      </c>
      <c r="I74" s="112" t="n">
        <v>6.65</v>
      </c>
      <c r="J74" s="3"/>
    </row>
    <row r="75" ht="27" customHeight="1">
      <c r="A75" s="3"/>
      <c r="B75" s="59" t="str">
        <v>D2</v>
      </c>
      <c r="C75" s="59" t="str">
        <v>country</v>
      </c>
      <c r="D75" s="59" t="str">
        <v>United States</v>
      </c>
      <c r="E75" s="45" t="n">
        <v>3030</v>
      </c>
      <c r="F75" s="111" t="n">
        <v>3.23</v>
      </c>
      <c r="G75" s="111" t="n">
        <v>3.15</v>
      </c>
      <c r="H75" s="113" t="n">
        <v>2.45</v>
      </c>
      <c r="I75" s="113" t="n">
        <v>3.89</v>
      </c>
      <c r="J75" s="3"/>
    </row>
    <row r="76" ht="27" customHeight="1">
      <c r="A76" s="3"/>
      <c r="B76" s="58" t="str">
        <v>D2</v>
      </c>
      <c r="C76" s="58" t="str">
        <v>country</v>
      </c>
      <c r="D76" s="58" t="str">
        <v>Germany</v>
      </c>
      <c r="E76" s="44" t="n">
        <v>2655</v>
      </c>
      <c r="F76" s="110" t="n">
        <v>3.54</v>
      </c>
      <c r="G76" s="110" t="n">
        <v>3.59</v>
      </c>
      <c r="H76" s="112" t="n">
        <v>2.54</v>
      </c>
      <c r="I76" s="112" t="n">
        <v>4.84</v>
      </c>
      <c r="J76" s="3"/>
    </row>
    <row r="77" ht="27" customHeight="1">
      <c r="A77" s="3"/>
      <c r="B77" s="59" t="str">
        <v>D2</v>
      </c>
      <c r="C77" s="59" t="str">
        <v>country</v>
      </c>
      <c r="D77" s="59" t="str">
        <v>China</v>
      </c>
      <c r="E77" s="45" t="n">
        <v>1645</v>
      </c>
      <c r="F77" s="111" t="n">
        <v>2.07</v>
      </c>
      <c r="G77" s="111" t="n">
        <v>2.31</v>
      </c>
      <c r="H77" s="113" t="n">
        <v>1.4</v>
      </c>
      <c r="I77" s="113" t="n">
        <v>3.04</v>
      </c>
      <c r="J77" s="3"/>
    </row>
    <row r="78" ht="27" customHeight="1">
      <c r="A78" s="3"/>
      <c r="B78" s="58" t="str">
        <v>D2</v>
      </c>
      <c r="C78" s="58" t="str">
        <v>country</v>
      </c>
      <c r="D78" s="58" t="str">
        <v>United Kingdom</v>
      </c>
      <c r="E78" s="44" t="n">
        <v>1315</v>
      </c>
      <c r="F78" s="110" t="n">
        <v>3.73</v>
      </c>
      <c r="G78" s="110" t="n">
        <v>3.72</v>
      </c>
      <c r="H78" s="112" t="n">
        <v>2.66</v>
      </c>
      <c r="I78" s="112" t="n">
        <v>4.83</v>
      </c>
      <c r="J78" s="3"/>
    </row>
    <row r="79" ht="27" customHeight="1">
      <c r="A79" s="3"/>
      <c r="B79" s="59" t="str">
        <v>D2</v>
      </c>
      <c r="C79" s="59" t="str">
        <v>country</v>
      </c>
      <c r="D79" s="59" t="str">
        <v>France</v>
      </c>
      <c r="E79" s="45" t="n">
        <v>841</v>
      </c>
      <c r="F79" s="111" t="n">
        <v>2.38</v>
      </c>
      <c r="G79" s="111" t="n">
        <v>2.25</v>
      </c>
      <c r="H79" s="113" t="n">
        <v>1.02</v>
      </c>
      <c r="I79" s="113" t="n">
        <v>3.32</v>
      </c>
      <c r="J79" s="3"/>
    </row>
    <row r="80" ht="27" customHeight="1">
      <c r="A80" s="3"/>
      <c r="B80" s="58" t="str">
        <v>D2</v>
      </c>
      <c r="C80" s="58" t="str">
        <v>country</v>
      </c>
      <c r="D80" s="58" t="str">
        <v>Australia</v>
      </c>
      <c r="E80" s="44" t="n">
        <v>605</v>
      </c>
      <c r="F80" s="110" t="n">
        <v>2.64</v>
      </c>
      <c r="G80" s="110" t="n">
        <v>2.59</v>
      </c>
      <c r="H80" s="112" t="n">
        <v>1.26</v>
      </c>
      <c r="I80" s="112" t="n">
        <v>4.23</v>
      </c>
      <c r="J80" s="3"/>
    </row>
    <row r="81" ht="27" customHeight="1">
      <c r="A81" s="3"/>
      <c r="B81" s="59" t="str">
        <v>D2</v>
      </c>
      <c r="C81" s="59" t="str">
        <v>country</v>
      </c>
      <c r="D81" s="59" t="str">
        <v>Netherlands</v>
      </c>
      <c r="E81" s="45" t="n">
        <v>576</v>
      </c>
      <c r="F81" s="111" t="n">
        <v>2.6</v>
      </c>
      <c r="G81" s="111" t="n">
        <v>2.06</v>
      </c>
      <c r="H81" s="113" t="n">
        <v>0.94</v>
      </c>
      <c r="I81" s="113" t="n">
        <v>3.29</v>
      </c>
      <c r="J81" s="3"/>
    </row>
    <row r="82" ht="27" customHeight="1">
      <c r="A82" s="3"/>
      <c r="B82" s="58" t="str">
        <v>D2</v>
      </c>
      <c r="C82" s="58" t="str">
        <v>country</v>
      </c>
      <c r="D82" s="58" t="str">
        <v>Switzerland</v>
      </c>
      <c r="E82" s="44" t="n">
        <v>512</v>
      </c>
      <c r="F82" s="110" t="n">
        <v>5.08</v>
      </c>
      <c r="G82" s="110" t="n">
        <v>4.32</v>
      </c>
      <c r="H82" s="112" t="n">
        <v>2.3</v>
      </c>
      <c r="I82" s="112" t="n">
        <v>5.84</v>
      </c>
      <c r="J82" s="3"/>
    </row>
    <row r="83" ht="27" customHeight="1">
      <c r="A83" s="3"/>
      <c r="B83" s="59" t="str">
        <v>D2</v>
      </c>
      <c r="C83" s="59" t="str">
        <v>country</v>
      </c>
      <c r="D83" s="59" t="str">
        <v>Spain</v>
      </c>
      <c r="E83" s="45" t="n">
        <v>470</v>
      </c>
      <c r="F83" s="111" t="n">
        <v>2.34</v>
      </c>
      <c r="G83" s="111" t="n">
        <v>2.21</v>
      </c>
      <c r="H83" s="113" t="n">
        <v>0.86</v>
      </c>
      <c r="I83" s="113" t="n">
        <v>4.07</v>
      </c>
      <c r="J83" s="3"/>
    </row>
    <row r="84" ht="27" customHeight="1">
      <c r="A84" s="3"/>
      <c r="B84" s="58" t="str">
        <v>D2</v>
      </c>
      <c r="C84" s="58" t="str">
        <v>country</v>
      </c>
      <c r="D84" s="58" t="str">
        <v>Canada</v>
      </c>
      <c r="E84" s="44" t="n">
        <v>435</v>
      </c>
      <c r="F84" s="110" t="n">
        <v>3.91</v>
      </c>
      <c r="G84" s="110" t="n">
        <v>3.44</v>
      </c>
      <c r="H84" s="112" t="n">
        <v>1.72</v>
      </c>
      <c r="I84" s="112" t="n">
        <v>5.21</v>
      </c>
      <c r="J84" s="3"/>
    </row>
    <row r="85" ht="27" customHeight="1">
      <c r="A85" s="3"/>
      <c r="B85" s="59" t="str">
        <v>D2</v>
      </c>
      <c r="C85" s="59" t="str">
        <v>country</v>
      </c>
      <c r="D85" s="59" t="str">
        <v>Denmark</v>
      </c>
      <c r="E85" s="45" t="n">
        <v>404</v>
      </c>
      <c r="F85" s="111" t="n">
        <v>4.7</v>
      </c>
      <c r="G85" s="111" t="n">
        <v>4.02</v>
      </c>
      <c r="H85" s="113" t="n">
        <v>2.12</v>
      </c>
      <c r="I85" s="113" t="n">
        <v>6.58</v>
      </c>
      <c r="J85" s="3"/>
    </row>
    <row r="86" ht="27" customHeight="1">
      <c r="A86" s="3"/>
      <c r="B86" s="58" t="str">
        <v>D2</v>
      </c>
      <c r="C86" s="58" t="str">
        <v>country</v>
      </c>
      <c r="D86" s="58" t="str">
        <v>Austria</v>
      </c>
      <c r="E86" s="44" t="n">
        <v>354</v>
      </c>
      <c r="F86" s="110" t="n">
        <v>1.69</v>
      </c>
      <c r="G86" s="110" t="n">
        <v>2.66</v>
      </c>
      <c r="H86" s="112" t="n">
        <v>0.37</v>
      </c>
      <c r="I86" s="112" t="n">
        <v>5.86</v>
      </c>
      <c r="J86" s="3"/>
    </row>
    <row r="87" ht="27" customHeight="1">
      <c r="A87" s="3"/>
      <c r="B87" s="59" t="str">
        <v>D2</v>
      </c>
      <c r="C87" s="59" t="str">
        <v>vendor_single</v>
      </c>
      <c r="D87" s="59" t="str">
        <v>Thermo Fisher</v>
      </c>
      <c r="E87" s="45" t="n">
        <v>17574</v>
      </c>
      <c r="F87" s="111" t="n">
        <v>2.97</v>
      </c>
      <c r="G87" s="111" t="n">
        <v>2.96</v>
      </c>
      <c r="H87" s="113" t="n">
        <v>2.68</v>
      </c>
      <c r="I87" s="113" t="n">
        <v>3.28</v>
      </c>
      <c r="J87" s="3"/>
    </row>
    <row r="88" ht="27" customHeight="1">
      <c r="A88" s="3"/>
      <c r="B88" s="58" t="str">
        <v>D2</v>
      </c>
      <c r="C88" s="58" t="str">
        <v>vendor_single</v>
      </c>
      <c r="D88" s="58" t="str">
        <v>SCIEX</v>
      </c>
      <c r="E88" s="44" t="n">
        <v>1232</v>
      </c>
      <c r="F88" s="110" t="n">
        <v>3</v>
      </c>
      <c r="G88" s="110" t="n">
        <v>3.13</v>
      </c>
      <c r="H88" s="112" t="n">
        <v>1.83</v>
      </c>
      <c r="I88" s="112" t="n">
        <v>4.76</v>
      </c>
      <c r="J88" s="3"/>
    </row>
    <row r="89" ht="27" customHeight="1">
      <c r="A89" s="3"/>
      <c r="B89" s="59" t="str">
        <v>D2</v>
      </c>
      <c r="C89" s="59" t="str">
        <v>vendor_single</v>
      </c>
      <c r="D89" s="59" t="str">
        <v>Bruker</v>
      </c>
      <c r="E89" s="45" t="n">
        <v>726</v>
      </c>
      <c r="F89" s="111" t="n">
        <v>3.17</v>
      </c>
      <c r="G89" s="111" t="n">
        <v>2.83</v>
      </c>
      <c r="H89" s="113" t="n">
        <v>1.41</v>
      </c>
      <c r="I89" s="113" t="n">
        <v>5.03</v>
      </c>
      <c r="J89" s="3"/>
    </row>
    <row r="90" ht="27" customHeight="1">
      <c r="A90" s="3"/>
      <c r="B90" s="58" t="str">
        <v>D2</v>
      </c>
      <c r="C90" s="58" t="str">
        <v>vendor_single</v>
      </c>
      <c r="D90" s="58" t="str">
        <v>Waters</v>
      </c>
      <c r="E90" s="44" t="n">
        <v>489</v>
      </c>
      <c r="F90" s="110" t="n">
        <v>1.02</v>
      </c>
      <c r="G90" s="110" t="n">
        <v>1.1</v>
      </c>
      <c r="H90" s="112" t="n">
        <v>0.25</v>
      </c>
      <c r="I90" s="112" t="n">
        <v>2.1</v>
      </c>
      <c r="J90" s="3"/>
    </row>
    <row r="91" ht="27" customHeight="1">
      <c r="A91" s="3"/>
      <c r="B91" s="59" t="str">
        <v>D2</v>
      </c>
      <c r="C91" s="59" t="str">
        <v>vendor_single</v>
      </c>
      <c r="D91" s="59" t="str">
        <v>Multiple</v>
      </c>
      <c r="E91" s="45" t="n">
        <v>355</v>
      </c>
      <c r="F91" s="111" t="n">
        <v>2.25</v>
      </c>
      <c r="G91" s="111" t="n">
        <v>2.48</v>
      </c>
      <c r="H91" s="113" t="n">
        <v>0.77</v>
      </c>
      <c r="I91" s="113" t="n">
        <v>4.78</v>
      </c>
      <c r="J91" s="3"/>
    </row>
    <row r="92" ht="27" customHeight="1">
      <c r="A92" s="3"/>
      <c r="B92" s="58" t="str">
        <v>D3</v>
      </c>
      <c r="C92" s="58" t="str">
        <v>All</v>
      </c>
      <c r="D92" s="58" t="str">
        <v>all</v>
      </c>
      <c r="E92" s="44" t="n">
        <v>20684</v>
      </c>
      <c r="F92" s="110" t="n">
        <v>1.45</v>
      </c>
      <c r="G92" s="110" t="n">
        <v>1.45</v>
      </c>
      <c r="H92" s="112" t="n">
        <v>1.26</v>
      </c>
      <c r="I92" s="112" t="n">
        <v>1.65</v>
      </c>
      <c r="J92" s="3"/>
    </row>
    <row r="93" ht="27" customHeight="1">
      <c r="A93" s="3"/>
      <c r="B93" s="59" t="str">
        <v>D3</v>
      </c>
      <c r="C93" s="59" t="str">
        <v>Standard files</v>
      </c>
      <c r="D93" s="59" t="str">
        <v>True</v>
      </c>
      <c r="E93" s="45" t="n">
        <v>3793</v>
      </c>
      <c r="F93" s="111" t="n">
        <v>1.13</v>
      </c>
      <c r="G93" s="111" t="n">
        <v>1.14</v>
      </c>
      <c r="H93" s="113" t="n">
        <v>0.76</v>
      </c>
      <c r="I93" s="113" t="n">
        <v>1.57</v>
      </c>
      <c r="J93" s="3"/>
    </row>
    <row r="94" ht="27" customHeight="1">
      <c r="A94" s="3"/>
      <c r="B94" s="58" t="str">
        <v>D3</v>
      </c>
      <c r="C94" s="58" t="str">
        <v>Standard files</v>
      </c>
      <c r="D94" s="58" t="str">
        <v>False</v>
      </c>
      <c r="E94" s="44" t="n">
        <v>16891</v>
      </c>
      <c r="F94" s="110" t="n">
        <v>1.52</v>
      </c>
      <c r="G94" s="110" t="n">
        <v>1.51</v>
      </c>
      <c r="H94" s="112" t="n">
        <v>1.31</v>
      </c>
      <c r="I94" s="112" t="n">
        <v>1.72</v>
      </c>
      <c r="J94" s="3"/>
    </row>
    <row r="95" ht="27" customHeight="1">
      <c r="A95" s="3"/>
      <c r="B95" s="59" t="str">
        <v>D3</v>
      </c>
      <c r="C95" s="59" t="str">
        <v>Thermo Fisher only</v>
      </c>
      <c r="D95" s="59" t="str">
        <v>True</v>
      </c>
      <c r="E95" s="45" t="n">
        <v>17574</v>
      </c>
      <c r="F95" s="111" t="n">
        <v>1.51</v>
      </c>
      <c r="G95" s="111" t="n">
        <v>1.5</v>
      </c>
      <c r="H95" s="113" t="n">
        <v>1.3</v>
      </c>
      <c r="I95" s="113" t="n">
        <v>1.7</v>
      </c>
      <c r="J95" s="3"/>
    </row>
    <row r="96" ht="27" customHeight="1">
      <c r="A96" s="3"/>
      <c r="B96" s="58" t="str">
        <v>D3</v>
      </c>
      <c r="C96" s="58" t="str">
        <v>Thermo Fisher only</v>
      </c>
      <c r="D96" s="58" t="str">
        <v>False</v>
      </c>
      <c r="E96" s="44" t="n">
        <v>3110</v>
      </c>
      <c r="F96" s="110" t="n">
        <v>1.13</v>
      </c>
      <c r="G96" s="110" t="n">
        <v>1.22</v>
      </c>
      <c r="H96" s="112" t="n">
        <v>0.7</v>
      </c>
      <c r="I96" s="112" t="n">
        <v>1.76</v>
      </c>
      <c r="J96" s="3"/>
    </row>
    <row r="97" ht="27" customHeight="1">
      <c r="A97" s="3"/>
      <c r="B97" s="59" t="str">
        <v>D3</v>
      </c>
      <c r="C97" s="59" t="str">
        <v>Bruker</v>
      </c>
      <c r="D97" s="59" t="str">
        <v>True</v>
      </c>
      <c r="E97" s="45" t="n">
        <v>726</v>
      </c>
      <c r="F97" s="111" t="n">
        <v>1.65</v>
      </c>
      <c r="G97" s="111" t="n">
        <v>1.3</v>
      </c>
      <c r="H97" s="113" t="n">
        <v>0.51</v>
      </c>
      <c r="I97" s="113" t="n">
        <v>2.3</v>
      </c>
      <c r="J97" s="3"/>
    </row>
    <row r="98" ht="27" customHeight="1">
      <c r="A98" s="3"/>
      <c r="B98" s="58" t="str">
        <v>D3</v>
      </c>
      <c r="C98" s="58" t="str">
        <v>Bruker</v>
      </c>
      <c r="D98" s="58" t="str">
        <v>False</v>
      </c>
      <c r="E98" s="44" t="n">
        <v>19958</v>
      </c>
      <c r="F98" s="110" t="n">
        <v>1.44</v>
      </c>
      <c r="G98" s="110" t="n">
        <v>1.44</v>
      </c>
      <c r="H98" s="112" t="n">
        <v>1.26</v>
      </c>
      <c r="I98" s="112" t="n">
        <v>1.63</v>
      </c>
      <c r="J98" s="3"/>
    </row>
    <row r="99" ht="27" customHeight="1">
      <c r="A99" s="3"/>
      <c r="B99" s="59" t="str">
        <v>D3</v>
      </c>
      <c r="C99" s="59" t="str">
        <v>DIA</v>
      </c>
      <c r="D99" s="59" t="str">
        <v>True</v>
      </c>
      <c r="E99" s="45" t="n">
        <v>1038</v>
      </c>
      <c r="F99" s="111" t="n">
        <v>3.85</v>
      </c>
      <c r="G99" s="111" t="n">
        <v>3.72</v>
      </c>
      <c r="H99" s="113" t="n">
        <v>2.47</v>
      </c>
      <c r="I99" s="113" t="n">
        <v>4.88</v>
      </c>
      <c r="J99" s="3"/>
    </row>
    <row r="100" ht="27" customHeight="1">
      <c r="A100" s="3"/>
      <c r="B100" s="58" t="str">
        <v>D3</v>
      </c>
      <c r="C100" s="58" t="str">
        <v>DIA</v>
      </c>
      <c r="D100" s="58" t="str">
        <v>False</v>
      </c>
      <c r="E100" s="44" t="n">
        <v>19646</v>
      </c>
      <c r="F100" s="110" t="n">
        <v>1.32</v>
      </c>
      <c r="G100" s="110" t="n">
        <v>1.33</v>
      </c>
      <c r="H100" s="112" t="n">
        <v>1.14</v>
      </c>
      <c r="I100" s="112" t="n">
        <v>1.52</v>
      </c>
      <c r="J100" s="3"/>
    </row>
    <row r="101" ht="27" customHeight="1">
      <c r="A101" s="3"/>
      <c r="B101" s="59" t="str">
        <v>D3</v>
      </c>
      <c r="C101" s="59" t="str">
        <v>DIA-NN/Spectronaut</v>
      </c>
      <c r="D101" s="59" t="str">
        <v>True</v>
      </c>
      <c r="E101" s="45" t="n">
        <v>286</v>
      </c>
      <c r="F101" s="111" t="n">
        <v>4.2</v>
      </c>
      <c r="G101" s="111" t="n">
        <v>4.96</v>
      </c>
      <c r="H101" s="113" t="n">
        <v>1.85</v>
      </c>
      <c r="I101" s="113" t="n">
        <v>10.05</v>
      </c>
      <c r="J101" s="3"/>
    </row>
    <row r="102" ht="27" customHeight="1">
      <c r="A102" s="3"/>
      <c r="B102" s="58" t="str">
        <v>D3</v>
      </c>
      <c r="C102" s="58" t="str">
        <v>DIA-NN/Spectronaut</v>
      </c>
      <c r="D102" s="58" t="str">
        <v>False</v>
      </c>
      <c r="E102" s="44" t="n">
        <v>20398</v>
      </c>
      <c r="F102" s="110" t="n">
        <v>1.41</v>
      </c>
      <c r="G102" s="110" t="n">
        <v>1.41</v>
      </c>
      <c r="H102" s="112" t="n">
        <v>1.22</v>
      </c>
      <c r="I102" s="112" t="n">
        <v>1.63</v>
      </c>
      <c r="J102" s="3"/>
    </row>
    <row r="103" ht="27" customHeight="1">
      <c r="A103" s="3"/>
      <c r="B103" s="59" t="str">
        <v>D3</v>
      </c>
      <c r="C103" s="59" t="str">
        <v>SDRF</v>
      </c>
      <c r="D103" s="59" t="str">
        <v>True</v>
      </c>
      <c r="E103" s="45" t="n">
        <v>205</v>
      </c>
      <c r="F103" s="111" t="n">
        <v>10.73</v>
      </c>
      <c r="G103" s="111" t="n">
        <v>15.07</v>
      </c>
      <c r="H103" s="113" t="n">
        <v>6.97</v>
      </c>
      <c r="I103" s="113" t="n">
        <v>23.2</v>
      </c>
      <c r="J103" s="3"/>
    </row>
    <row r="104" ht="27" customHeight="1">
      <c r="A104" s="3"/>
      <c r="B104" s="58" t="str">
        <v>D3</v>
      </c>
      <c r="C104" s="58" t="str">
        <v>SDRF</v>
      </c>
      <c r="D104" s="58" t="str">
        <v>False</v>
      </c>
      <c r="E104" s="44" t="n">
        <v>20479</v>
      </c>
      <c r="F104" s="110" t="n">
        <v>1.36</v>
      </c>
      <c r="G104" s="110" t="n">
        <v>1.36</v>
      </c>
      <c r="H104" s="112" t="n">
        <v>1.19</v>
      </c>
      <c r="I104" s="112" t="n">
        <v>1.55</v>
      </c>
      <c r="J104" s="3"/>
    </row>
    <row r="105" ht="39" customHeight="1">
      <c r="A105" s="3"/>
      <c r="B105" s="59" t="str">
        <v>D3</v>
      </c>
      <c r="C105" s="59" t="str">
        <v>Results identifiable from files</v>
      </c>
      <c r="D105" s="59" t="str">
        <v>True</v>
      </c>
      <c r="E105" s="45" t="n">
        <v>18068</v>
      </c>
      <c r="F105" s="111" t="n">
        <v>1.39</v>
      </c>
      <c r="G105" s="111" t="n">
        <v>1.4</v>
      </c>
      <c r="H105" s="113" t="n">
        <v>1.2</v>
      </c>
      <c r="I105" s="113" t="n">
        <v>1.64</v>
      </c>
      <c r="J105" s="3"/>
    </row>
    <row r="106" ht="39" customHeight="1">
      <c r="A106" s="3"/>
      <c r="B106" s="58" t="str">
        <v>D3</v>
      </c>
      <c r="C106" s="58" t="str">
        <v>Results identifiable from files</v>
      </c>
      <c r="D106" s="58" t="str">
        <v>False</v>
      </c>
      <c r="E106" s="44" t="n">
        <v>2616</v>
      </c>
      <c r="F106" s="110" t="n">
        <v>1.83</v>
      </c>
      <c r="G106" s="110" t="n">
        <v>1.85</v>
      </c>
      <c r="H106" s="112" t="n">
        <v>1.31</v>
      </c>
      <c r="I106" s="112" t="n">
        <v>2.43</v>
      </c>
      <c r="J106" s="3"/>
    </row>
    <row r="107" ht="27" customHeight="1">
      <c r="A107" s="3"/>
      <c r="B107" s="59" t="str">
        <v>D3</v>
      </c>
      <c r="C107" s="59" t="str">
        <v>Human</v>
      </c>
      <c r="D107" s="59" t="str">
        <v>True</v>
      </c>
      <c r="E107" s="45" t="n">
        <v>9366</v>
      </c>
      <c r="F107" s="111" t="n">
        <v>2.12</v>
      </c>
      <c r="G107" s="111" t="n">
        <v>2.12</v>
      </c>
      <c r="H107" s="113" t="n">
        <v>1.79</v>
      </c>
      <c r="I107" s="113" t="n">
        <v>2.49</v>
      </c>
      <c r="J107" s="3"/>
    </row>
    <row r="108" ht="27" customHeight="1">
      <c r="A108" s="3"/>
      <c r="B108" s="58" t="str">
        <v>D3</v>
      </c>
      <c r="C108" s="58" t="str">
        <v>Human</v>
      </c>
      <c r="D108" s="58" t="str">
        <v>False</v>
      </c>
      <c r="E108" s="44" t="n">
        <v>11318</v>
      </c>
      <c r="F108" s="110" t="n">
        <v>0.89</v>
      </c>
      <c r="G108" s="110" t="n">
        <v>0.89</v>
      </c>
      <c r="H108" s="112" t="n">
        <v>0.71</v>
      </c>
      <c r="I108" s="112" t="n">
        <v>1.1</v>
      </c>
      <c r="J108" s="3"/>
    </row>
    <row r="109" ht="27" customHeight="1">
      <c r="A109" s="3"/>
      <c r="B109" s="59" t="str">
        <v>D3</v>
      </c>
      <c r="C109" s="59" t="str">
        <v>family</v>
      </c>
      <c r="D109" s="59" t="str">
        <v>MaxQuant</v>
      </c>
      <c r="E109" s="45" t="n">
        <v>7360</v>
      </c>
      <c r="F109" s="111" t="n">
        <v>1.6</v>
      </c>
      <c r="G109" s="111" t="n">
        <v>1.54</v>
      </c>
      <c r="H109" s="113" t="n">
        <v>1.23</v>
      </c>
      <c r="I109" s="113" t="n">
        <v>1.87</v>
      </c>
      <c r="J109" s="3"/>
    </row>
    <row r="110" ht="27" customHeight="1">
      <c r="A110" s="3"/>
      <c r="B110" s="58" t="str">
        <v>D3</v>
      </c>
      <c r="C110" s="58" t="str">
        <v>family</v>
      </c>
      <c r="D110" s="58" t="str">
        <v>Other tools only</v>
      </c>
      <c r="E110" s="44" t="n">
        <v>3015</v>
      </c>
      <c r="F110" s="110" t="n">
        <v>1.36</v>
      </c>
      <c r="G110" s="110" t="n">
        <v>1.38</v>
      </c>
      <c r="H110" s="112" t="n">
        <v>0.91</v>
      </c>
      <c r="I110" s="112" t="n">
        <v>1.82</v>
      </c>
      <c r="J110" s="3"/>
    </row>
    <row r="111" ht="27" customHeight="1">
      <c r="A111" s="3"/>
      <c r="B111" s="59" t="str">
        <v>D3</v>
      </c>
      <c r="C111" s="59" t="str">
        <v>family</v>
      </c>
      <c r="D111" s="59" t="str">
        <v>Several of these</v>
      </c>
      <c r="E111" s="45" t="n">
        <v>2734</v>
      </c>
      <c r="F111" s="111" t="n">
        <v>1.57</v>
      </c>
      <c r="G111" s="111" t="n">
        <v>1.56</v>
      </c>
      <c r="H111" s="113" t="n">
        <v>1.06</v>
      </c>
      <c r="I111" s="113" t="n">
        <v>2.15</v>
      </c>
      <c r="J111" s="3"/>
    </row>
    <row r="112" ht="27" customHeight="1">
      <c r="A112" s="3"/>
      <c r="B112" s="58" t="str">
        <v>D3</v>
      </c>
      <c r="C112" s="58" t="str">
        <v>family</v>
      </c>
      <c r="D112" s="58" t="str">
        <v>Mascot</v>
      </c>
      <c r="E112" s="44" t="n">
        <v>2577</v>
      </c>
      <c r="F112" s="110" t="n">
        <v>0.97</v>
      </c>
      <c r="G112" s="110" t="n">
        <v>1.1</v>
      </c>
      <c r="H112" s="112" t="n">
        <v>0.66</v>
      </c>
      <c r="I112" s="112" t="n">
        <v>1.62</v>
      </c>
      <c r="J112" s="3"/>
    </row>
    <row r="113" ht="27" customHeight="1">
      <c r="A113" s="3"/>
      <c r="B113" s="59" t="str">
        <v>D3</v>
      </c>
      <c r="C113" s="59" t="str">
        <v>family</v>
      </c>
      <c r="D113" s="59" t="str">
        <v>Proteome Discoverer</v>
      </c>
      <c r="E113" s="45" t="n">
        <v>2478</v>
      </c>
      <c r="F113" s="111" t="n">
        <v>1.25</v>
      </c>
      <c r="G113" s="111" t="n">
        <v>1.32</v>
      </c>
      <c r="H113" s="113" t="n">
        <v>0.86</v>
      </c>
      <c r="I113" s="113" t="n">
        <v>1.86</v>
      </c>
      <c r="J113" s="3"/>
    </row>
    <row r="114" ht="27" customHeight="1">
      <c r="A114" s="3"/>
      <c r="B114" s="58" t="str">
        <v>D3</v>
      </c>
      <c r="C114" s="58" t="str">
        <v>family</v>
      </c>
      <c r="D114" s="58" t="str">
        <v>No tool named</v>
      </c>
      <c r="E114" s="44" t="n">
        <v>2168</v>
      </c>
      <c r="F114" s="110" t="n">
        <v>1.29</v>
      </c>
      <c r="G114" s="110" t="n">
        <v>1.04</v>
      </c>
      <c r="H114" s="112" t="n">
        <v>0.62</v>
      </c>
      <c r="I114" s="112" t="n">
        <v>1.57</v>
      </c>
      <c r="J114" s="3"/>
    </row>
    <row r="115" ht="27" customHeight="1">
      <c r="A115" s="3"/>
      <c r="B115" s="59" t="str">
        <v>D3</v>
      </c>
      <c r="C115" s="59" t="str">
        <v>family</v>
      </c>
      <c r="D115" s="59" t="str">
        <v>Spectronaut</v>
      </c>
      <c r="E115" s="45" t="n">
        <v>234</v>
      </c>
      <c r="F115" s="111" t="n">
        <v>4.27</v>
      </c>
      <c r="G115" s="111" t="n">
        <v>5.03</v>
      </c>
      <c r="H115" s="113" t="n">
        <v>1.92</v>
      </c>
      <c r="I115" s="113" t="n">
        <v>10.61</v>
      </c>
      <c r="J115" s="3"/>
    </row>
    <row r="116" ht="27" customHeight="1">
      <c r="A116" s="3"/>
      <c r="B116" s="58" t="str">
        <v>D3</v>
      </c>
      <c r="C116" s="58" t="str">
        <v>family</v>
      </c>
      <c r="D116" s="58" t="str">
        <v>FragPipe</v>
      </c>
      <c r="E116" s="44" t="n">
        <v>66</v>
      </c>
      <c r="F116" s="110" t="n">
        <v>3.03</v>
      </c>
      <c r="G116" s="110" t="n">
        <v>1.6</v>
      </c>
      <c r="H116" s="112" t="n">
        <v>0</v>
      </c>
      <c r="I116" s="112" t="n">
        <v>4.1</v>
      </c>
      <c r="J116" s="3"/>
    </row>
    <row r="117" ht="27" customHeight="1">
      <c r="A117" s="3"/>
      <c r="B117" s="59" t="str">
        <v>D3</v>
      </c>
      <c r="C117" s="59" t="str">
        <v>country</v>
      </c>
      <c r="D117" s="59" t="str">
        <v>United States</v>
      </c>
      <c r="E117" s="45" t="n">
        <v>3030</v>
      </c>
      <c r="F117" s="111" t="n">
        <v>1.35</v>
      </c>
      <c r="G117" s="111" t="n">
        <v>1.32</v>
      </c>
      <c r="H117" s="113" t="n">
        <v>0.89</v>
      </c>
      <c r="I117" s="113" t="n">
        <v>1.83</v>
      </c>
      <c r="J117" s="3"/>
    </row>
    <row r="118" ht="27" customHeight="1">
      <c r="A118" s="3"/>
      <c r="B118" s="58" t="str">
        <v>D3</v>
      </c>
      <c r="C118" s="58" t="str">
        <v>country</v>
      </c>
      <c r="D118" s="58" t="str">
        <v>Germany</v>
      </c>
      <c r="E118" s="44" t="n">
        <v>2655</v>
      </c>
      <c r="F118" s="110" t="n">
        <v>2.11</v>
      </c>
      <c r="G118" s="110" t="n">
        <v>2.15</v>
      </c>
      <c r="H118" s="112" t="n">
        <v>1.45</v>
      </c>
      <c r="I118" s="112" t="n">
        <v>2.88</v>
      </c>
      <c r="J118" s="3"/>
    </row>
    <row r="119" ht="27" customHeight="1">
      <c r="A119" s="3"/>
      <c r="B119" s="59" t="str">
        <v>D3</v>
      </c>
      <c r="C119" s="59" t="str">
        <v>country</v>
      </c>
      <c r="D119" s="59" t="str">
        <v>China</v>
      </c>
      <c r="E119" s="45" t="n">
        <v>1645</v>
      </c>
      <c r="F119" s="111" t="n">
        <v>1.34</v>
      </c>
      <c r="G119" s="111" t="n">
        <v>1.67</v>
      </c>
      <c r="H119" s="113" t="n">
        <v>0.83</v>
      </c>
      <c r="I119" s="113" t="n">
        <v>2.3</v>
      </c>
      <c r="J119" s="3"/>
    </row>
    <row r="120" ht="27" customHeight="1">
      <c r="A120" s="3"/>
      <c r="B120" s="58" t="str">
        <v>D3</v>
      </c>
      <c r="C120" s="58" t="str">
        <v>country</v>
      </c>
      <c r="D120" s="58" t="str">
        <v>United Kingdom</v>
      </c>
      <c r="E120" s="44" t="n">
        <v>1315</v>
      </c>
      <c r="F120" s="110" t="n">
        <v>1.67</v>
      </c>
      <c r="G120" s="110" t="n">
        <v>1.7</v>
      </c>
      <c r="H120" s="112" t="n">
        <v>1.08</v>
      </c>
      <c r="I120" s="112" t="n">
        <v>2.37</v>
      </c>
      <c r="J120" s="3"/>
    </row>
    <row r="121" ht="27" customHeight="1">
      <c r="A121" s="3"/>
      <c r="B121" s="59" t="str">
        <v>D3</v>
      </c>
      <c r="C121" s="59" t="str">
        <v>country</v>
      </c>
      <c r="D121" s="59" t="str">
        <v>France</v>
      </c>
      <c r="E121" s="45" t="n">
        <v>841</v>
      </c>
      <c r="F121" s="111" t="n">
        <v>1.31</v>
      </c>
      <c r="G121" s="111" t="n">
        <v>1.17</v>
      </c>
      <c r="H121" s="113" t="n">
        <v>0.4</v>
      </c>
      <c r="I121" s="113" t="n">
        <v>1.96</v>
      </c>
      <c r="J121" s="3"/>
    </row>
    <row r="122" ht="27" customHeight="1">
      <c r="A122" s="3"/>
      <c r="B122" s="58" t="str">
        <v>D3</v>
      </c>
      <c r="C122" s="58" t="str">
        <v>country</v>
      </c>
      <c r="D122" s="58" t="str">
        <v>Australia</v>
      </c>
      <c r="E122" s="44" t="n">
        <v>605</v>
      </c>
      <c r="F122" s="110" t="n">
        <v>1.16</v>
      </c>
      <c r="G122" s="110" t="n">
        <v>1.24</v>
      </c>
      <c r="H122" s="112" t="n">
        <v>0.41</v>
      </c>
      <c r="I122" s="112" t="n">
        <v>2.28</v>
      </c>
      <c r="J122" s="3"/>
    </row>
    <row r="123" ht="27" customHeight="1">
      <c r="A123" s="3"/>
      <c r="B123" s="59" t="str">
        <v>D3</v>
      </c>
      <c r="C123" s="59" t="str">
        <v>country</v>
      </c>
      <c r="D123" s="59" t="str">
        <v>Netherlands</v>
      </c>
      <c r="E123" s="45" t="n">
        <v>576</v>
      </c>
      <c r="F123" s="111" t="n">
        <v>0.87</v>
      </c>
      <c r="G123" s="111" t="n">
        <v>0.82</v>
      </c>
      <c r="H123" s="113" t="n">
        <v>0.22</v>
      </c>
      <c r="I123" s="113" t="n">
        <v>1.69</v>
      </c>
      <c r="J123" s="3"/>
    </row>
    <row r="124" ht="27" customHeight="1">
      <c r="A124" s="3"/>
      <c r="B124" s="58" t="str">
        <v>D3</v>
      </c>
      <c r="C124" s="58" t="str">
        <v>country</v>
      </c>
      <c r="D124" s="58" t="str">
        <v>Switzerland</v>
      </c>
      <c r="E124" s="44" t="n">
        <v>512</v>
      </c>
      <c r="F124" s="110" t="n">
        <v>2.93</v>
      </c>
      <c r="G124" s="110" t="n">
        <v>2.4</v>
      </c>
      <c r="H124" s="112" t="n">
        <v>0.79</v>
      </c>
      <c r="I124" s="112" t="n">
        <v>4.27</v>
      </c>
      <c r="J124" s="3"/>
    </row>
    <row r="125" ht="27" customHeight="1">
      <c r="A125" s="3"/>
      <c r="B125" s="59" t="str">
        <v>D3</v>
      </c>
      <c r="C125" s="59" t="str">
        <v>country</v>
      </c>
      <c r="D125" s="59" t="str">
        <v>Spain</v>
      </c>
      <c r="E125" s="45" t="n">
        <v>470</v>
      </c>
      <c r="F125" s="111" t="n">
        <v>0.43</v>
      </c>
      <c r="G125" s="111" t="n">
        <v>0.42</v>
      </c>
      <c r="H125" s="113" t="n">
        <v>0</v>
      </c>
      <c r="I125" s="113" t="n">
        <v>1.39</v>
      </c>
      <c r="J125" s="3"/>
    </row>
    <row r="126" ht="27" customHeight="1">
      <c r="A126" s="3"/>
      <c r="B126" s="58" t="str">
        <v>D3</v>
      </c>
      <c r="C126" s="58" t="str">
        <v>country</v>
      </c>
      <c r="D126" s="58" t="str">
        <v>Canada</v>
      </c>
      <c r="E126" s="44" t="n">
        <v>435</v>
      </c>
      <c r="F126" s="110" t="n">
        <v>1.38</v>
      </c>
      <c r="G126" s="110" t="n">
        <v>1.05</v>
      </c>
      <c r="H126" s="112" t="n">
        <v>0.35</v>
      </c>
      <c r="I126" s="112" t="n">
        <v>2.05</v>
      </c>
      <c r="J126" s="3"/>
    </row>
    <row r="127" ht="27" customHeight="1">
      <c r="A127" s="3"/>
      <c r="B127" s="59" t="str">
        <v>D3</v>
      </c>
      <c r="C127" s="59" t="str">
        <v>country</v>
      </c>
      <c r="D127" s="59" t="str">
        <v>Denmark</v>
      </c>
      <c r="E127" s="45" t="n">
        <v>404</v>
      </c>
      <c r="F127" s="111" t="n">
        <v>3.71</v>
      </c>
      <c r="G127" s="111" t="n">
        <v>3.16</v>
      </c>
      <c r="H127" s="113" t="n">
        <v>1.59</v>
      </c>
      <c r="I127" s="113" t="n">
        <v>5.07</v>
      </c>
      <c r="J127" s="3"/>
    </row>
    <row r="128" ht="27" customHeight="1">
      <c r="A128" s="3"/>
      <c r="B128" s="58" t="str">
        <v>D3</v>
      </c>
      <c r="C128" s="58" t="str">
        <v>country</v>
      </c>
      <c r="D128" s="58" t="str">
        <v>Austria</v>
      </c>
      <c r="E128" s="44" t="n">
        <v>354</v>
      </c>
      <c r="F128" s="110" t="n">
        <v>1.13</v>
      </c>
      <c r="G128" s="110" t="n">
        <v>2.11</v>
      </c>
      <c r="H128" s="112" t="n">
        <v>0</v>
      </c>
      <c r="I128" s="112" t="n">
        <v>5.37</v>
      </c>
      <c r="J128" s="3"/>
    </row>
    <row r="129" ht="27" customHeight="1">
      <c r="A129" s="3"/>
      <c r="B129" s="59" t="str">
        <v>D3</v>
      </c>
      <c r="C129" s="59" t="str">
        <v>vendor_single</v>
      </c>
      <c r="D129" s="59" t="str">
        <v>Thermo Fisher</v>
      </c>
      <c r="E129" s="45" t="n">
        <v>17574</v>
      </c>
      <c r="F129" s="111" t="n">
        <v>1.51</v>
      </c>
      <c r="G129" s="111" t="n">
        <v>1.5</v>
      </c>
      <c r="H129" s="113" t="n">
        <v>1.3</v>
      </c>
      <c r="I129" s="113" t="n">
        <v>1.72</v>
      </c>
      <c r="J129" s="3"/>
    </row>
    <row r="130" ht="27" customHeight="1">
      <c r="A130" s="3"/>
      <c r="B130" s="58" t="str">
        <v>D3</v>
      </c>
      <c r="C130" s="58" t="str">
        <v>vendor_single</v>
      </c>
      <c r="D130" s="58" t="str">
        <v>SCIEX</v>
      </c>
      <c r="E130" s="44" t="n">
        <v>1232</v>
      </c>
      <c r="F130" s="110" t="n">
        <v>1.62</v>
      </c>
      <c r="G130" s="110" t="n">
        <v>1.55</v>
      </c>
      <c r="H130" s="112" t="n">
        <v>0.79</v>
      </c>
      <c r="I130" s="112" t="n">
        <v>2.38</v>
      </c>
      <c r="J130" s="3"/>
    </row>
    <row r="131" ht="27" customHeight="1">
      <c r="A131" s="3"/>
      <c r="B131" s="59" t="str">
        <v>D3</v>
      </c>
      <c r="C131" s="59" t="str">
        <v>vendor_single</v>
      </c>
      <c r="D131" s="59" t="str">
        <v>Bruker</v>
      </c>
      <c r="E131" s="45" t="n">
        <v>726</v>
      </c>
      <c r="F131" s="111" t="n">
        <v>1.65</v>
      </c>
      <c r="G131" s="111" t="n">
        <v>1.3</v>
      </c>
      <c r="H131" s="113" t="n">
        <v>0.42</v>
      </c>
      <c r="I131" s="113" t="n">
        <v>2.3</v>
      </c>
      <c r="J131" s="3"/>
    </row>
    <row r="132" ht="27" customHeight="1">
      <c r="A132" s="3"/>
      <c r="B132" s="58" t="str">
        <v>D3</v>
      </c>
      <c r="C132" s="58" t="str">
        <v>vendor_single</v>
      </c>
      <c r="D132" s="58" t="str">
        <v>Waters</v>
      </c>
      <c r="E132" s="44" t="n">
        <v>489</v>
      </c>
      <c r="F132" s="110" t="n">
        <v>0</v>
      </c>
      <c r="G132" s="110" t="n">
        <v>0</v>
      </c>
      <c r="H132" s="112" t="n">
        <v>0</v>
      </c>
      <c r="I132" s="112" t="n">
        <v>0</v>
      </c>
      <c r="J132" s="3"/>
    </row>
    <row r="133" ht="27" customHeight="1">
      <c r="A133" s="3"/>
      <c r="B133" s="59" t="str">
        <v>D3</v>
      </c>
      <c r="C133" s="59" t="str">
        <v>vendor_single</v>
      </c>
      <c r="D133" s="59" t="str">
        <v>Multiple</v>
      </c>
      <c r="E133" s="45" t="n">
        <v>355</v>
      </c>
      <c r="F133" s="111" t="n">
        <v>0.85</v>
      </c>
      <c r="G133" s="111" t="n">
        <v>1.43</v>
      </c>
      <c r="H133" s="113" t="n">
        <v>0</v>
      </c>
      <c r="I133" s="113" t="n">
        <v>3.45</v>
      </c>
      <c r="J133" s="3"/>
    </row>
    <row r="134" ht="27" customHeight="1">
      <c r="A134" s="3"/>
      <c r="B134" s="58" t="str">
        <v>D1_all</v>
      </c>
      <c r="C134" s="58" t="str">
        <v>All</v>
      </c>
      <c r="D134" s="58" t="str">
        <v>all</v>
      </c>
      <c r="E134" s="44" t="n">
        <v>20684</v>
      </c>
      <c r="F134" s="110" t="n">
        <v>2.34</v>
      </c>
      <c r="G134" s="110" t="n">
        <v>2.34</v>
      </c>
      <c r="H134" s="112" t="n">
        <v>2.07</v>
      </c>
      <c r="I134" s="112" t="n">
        <v>2.65</v>
      </c>
      <c r="J134" s="3"/>
    </row>
    <row r="135" ht="27" customHeight="1">
      <c r="A135" s="3"/>
      <c r="B135" s="59" t="str">
        <v>D1_all</v>
      </c>
      <c r="C135" s="59" t="str">
        <v>Standard files</v>
      </c>
      <c r="D135" s="59" t="str">
        <v>True</v>
      </c>
      <c r="E135" s="45" t="n">
        <v>3793</v>
      </c>
      <c r="F135" s="111" t="n">
        <v>2.11</v>
      </c>
      <c r="G135" s="111" t="n">
        <v>2.09</v>
      </c>
      <c r="H135" s="113" t="n">
        <v>1.61</v>
      </c>
      <c r="I135" s="113" t="n">
        <v>2.7</v>
      </c>
      <c r="J135" s="3"/>
    </row>
    <row r="136" ht="27" customHeight="1">
      <c r="A136" s="3"/>
      <c r="B136" s="58" t="str">
        <v>D1_all</v>
      </c>
      <c r="C136" s="58" t="str">
        <v>Standard files</v>
      </c>
      <c r="D136" s="58" t="str">
        <v>False</v>
      </c>
      <c r="E136" s="44" t="n">
        <v>16891</v>
      </c>
      <c r="F136" s="110" t="n">
        <v>2.39</v>
      </c>
      <c r="G136" s="110" t="n">
        <v>2.38</v>
      </c>
      <c r="H136" s="112" t="n">
        <v>2.1</v>
      </c>
      <c r="I136" s="112" t="n">
        <v>2.7</v>
      </c>
      <c r="J136" s="3"/>
    </row>
    <row r="137" ht="27" customHeight="1">
      <c r="A137" s="3"/>
      <c r="B137" s="59" t="str">
        <v>D1_all</v>
      </c>
      <c r="C137" s="59" t="str">
        <v>Thermo Fisher only</v>
      </c>
      <c r="D137" s="59" t="str">
        <v>True</v>
      </c>
      <c r="E137" s="45" t="n">
        <v>17574</v>
      </c>
      <c r="F137" s="111" t="n">
        <v>2.45</v>
      </c>
      <c r="G137" s="111" t="n">
        <v>2.44</v>
      </c>
      <c r="H137" s="113" t="n">
        <v>2.13</v>
      </c>
      <c r="I137" s="113" t="n">
        <v>2.72</v>
      </c>
      <c r="J137" s="3"/>
    </row>
    <row r="138" ht="27" customHeight="1">
      <c r="A138" s="3"/>
      <c r="B138" s="58" t="str">
        <v>D1_all</v>
      </c>
      <c r="C138" s="58" t="str">
        <v>Thermo Fisher only</v>
      </c>
      <c r="D138" s="58" t="str">
        <v>False</v>
      </c>
      <c r="E138" s="44" t="n">
        <v>3110</v>
      </c>
      <c r="F138" s="110" t="n">
        <v>1.7</v>
      </c>
      <c r="G138" s="110" t="n">
        <v>1.81</v>
      </c>
      <c r="H138" s="112" t="n">
        <v>1.19</v>
      </c>
      <c r="I138" s="112" t="n">
        <v>2.46</v>
      </c>
      <c r="J138" s="3"/>
    </row>
    <row r="139" ht="27" customHeight="1">
      <c r="A139" s="3"/>
      <c r="B139" s="59" t="str">
        <v>D1_all</v>
      </c>
      <c r="C139" s="59" t="str">
        <v>Bruker</v>
      </c>
      <c r="D139" s="59" t="str">
        <v>True</v>
      </c>
      <c r="E139" s="45" t="n">
        <v>726</v>
      </c>
      <c r="F139" s="111" t="n">
        <v>2.34</v>
      </c>
      <c r="G139" s="111" t="n">
        <v>1.92</v>
      </c>
      <c r="H139" s="113" t="n">
        <v>0.94</v>
      </c>
      <c r="I139" s="113" t="n">
        <v>3.17</v>
      </c>
      <c r="J139" s="3"/>
    </row>
    <row r="140" ht="27" customHeight="1">
      <c r="A140" s="3"/>
      <c r="B140" s="58" t="str">
        <v>D1_all</v>
      </c>
      <c r="C140" s="58" t="str">
        <v>Bruker</v>
      </c>
      <c r="D140" s="58" t="str">
        <v>False</v>
      </c>
      <c r="E140" s="44" t="n">
        <v>19958</v>
      </c>
      <c r="F140" s="110" t="n">
        <v>2.33</v>
      </c>
      <c r="G140" s="110" t="n">
        <v>2.33</v>
      </c>
      <c r="H140" s="112" t="n">
        <v>2.08</v>
      </c>
      <c r="I140" s="112" t="n">
        <v>2.61</v>
      </c>
      <c r="J140" s="3"/>
    </row>
    <row r="141" ht="27" customHeight="1">
      <c r="A141" s="3"/>
      <c r="B141" s="59" t="str">
        <v>D1_all</v>
      </c>
      <c r="C141" s="59" t="str">
        <v>DIA</v>
      </c>
      <c r="D141" s="59" t="str">
        <v>True</v>
      </c>
      <c r="E141" s="45" t="n">
        <v>1038</v>
      </c>
      <c r="F141" s="111" t="n">
        <v>4.62</v>
      </c>
      <c r="G141" s="111" t="n">
        <v>4.45</v>
      </c>
      <c r="H141" s="113" t="n">
        <v>3.04</v>
      </c>
      <c r="I141" s="113" t="n">
        <v>5.78</v>
      </c>
      <c r="J141" s="3"/>
    </row>
    <row r="142" ht="27" customHeight="1">
      <c r="A142" s="3"/>
      <c r="B142" s="58" t="str">
        <v>D1_all</v>
      </c>
      <c r="C142" s="58" t="str">
        <v>DIA</v>
      </c>
      <c r="D142" s="58" t="str">
        <v>False</v>
      </c>
      <c r="E142" s="44" t="n">
        <v>19646</v>
      </c>
      <c r="F142" s="110" t="n">
        <v>2.21</v>
      </c>
      <c r="G142" s="110" t="n">
        <v>2.22</v>
      </c>
      <c r="H142" s="112" t="n">
        <v>1.96</v>
      </c>
      <c r="I142" s="112" t="n">
        <v>2.54</v>
      </c>
      <c r="J142" s="3"/>
    </row>
    <row r="143" ht="27" customHeight="1">
      <c r="A143" s="3"/>
      <c r="B143" s="59" t="str">
        <v>D1_all</v>
      </c>
      <c r="C143" s="59" t="str">
        <v>DIA-NN/Spectronaut</v>
      </c>
      <c r="D143" s="59" t="str">
        <v>True</v>
      </c>
      <c r="E143" s="45" t="n">
        <v>286</v>
      </c>
      <c r="F143" s="111" t="n">
        <v>5.24</v>
      </c>
      <c r="G143" s="111" t="n">
        <v>5.52</v>
      </c>
      <c r="H143" s="113" t="n">
        <v>2.27</v>
      </c>
      <c r="I143" s="113" t="n">
        <v>10.35</v>
      </c>
      <c r="J143" s="3"/>
    </row>
    <row r="144" ht="27" customHeight="1">
      <c r="A144" s="3"/>
      <c r="B144" s="58" t="str">
        <v>D1_all</v>
      </c>
      <c r="C144" s="58" t="str">
        <v>DIA-NN/Spectronaut</v>
      </c>
      <c r="D144" s="58" t="str">
        <v>False</v>
      </c>
      <c r="E144" s="44" t="n">
        <v>20398</v>
      </c>
      <c r="F144" s="110" t="n">
        <v>2.29</v>
      </c>
      <c r="G144" s="110" t="n">
        <v>2.29</v>
      </c>
      <c r="H144" s="112" t="n">
        <v>2.03</v>
      </c>
      <c r="I144" s="112" t="n">
        <v>2.55</v>
      </c>
      <c r="J144" s="3"/>
    </row>
    <row r="145" ht="27" customHeight="1">
      <c r="A145" s="3"/>
      <c r="B145" s="59" t="str">
        <v>D1_all</v>
      </c>
      <c r="C145" s="59" t="str">
        <v>SDRF</v>
      </c>
      <c r="D145" s="59" t="str">
        <v>True</v>
      </c>
      <c r="E145" s="45" t="n">
        <v>205</v>
      </c>
      <c r="F145" s="111" t="n">
        <v>15.61</v>
      </c>
      <c r="G145" s="111" t="n">
        <v>17.34</v>
      </c>
      <c r="H145" s="113" t="n">
        <v>9.82</v>
      </c>
      <c r="I145" s="113" t="n">
        <v>25.11</v>
      </c>
      <c r="J145" s="3"/>
    </row>
    <row r="146" ht="27" customHeight="1">
      <c r="A146" s="3"/>
      <c r="B146" s="58" t="str">
        <v>D1_all</v>
      </c>
      <c r="C146" s="58" t="str">
        <v>SDRF</v>
      </c>
      <c r="D146" s="58" t="str">
        <v>False</v>
      </c>
      <c r="E146" s="44" t="n">
        <v>20479</v>
      </c>
      <c r="F146" s="110" t="n">
        <v>2.2</v>
      </c>
      <c r="G146" s="110" t="n">
        <v>2.21</v>
      </c>
      <c r="H146" s="112" t="n">
        <v>1.95</v>
      </c>
      <c r="I146" s="112" t="n">
        <v>2.49</v>
      </c>
      <c r="J146" s="3"/>
    </row>
    <row r="147" ht="39" customHeight="1">
      <c r="A147" s="3"/>
      <c r="B147" s="59" t="str">
        <v>D1_all</v>
      </c>
      <c r="C147" s="59" t="str">
        <v>Results identifiable from files</v>
      </c>
      <c r="D147" s="59" t="str">
        <v>True</v>
      </c>
      <c r="E147" s="45" t="n">
        <v>18068</v>
      </c>
      <c r="F147" s="111" t="n">
        <v>2.29</v>
      </c>
      <c r="G147" s="111" t="n">
        <v>2.29</v>
      </c>
      <c r="H147" s="113" t="n">
        <v>2</v>
      </c>
      <c r="I147" s="113" t="n">
        <v>2.57</v>
      </c>
      <c r="J147" s="3"/>
    </row>
    <row r="148" ht="39" customHeight="1">
      <c r="A148" s="3"/>
      <c r="B148" s="58" t="str">
        <v>D1_all</v>
      </c>
      <c r="C148" s="58" t="str">
        <v>Results identifiable from files</v>
      </c>
      <c r="D148" s="58" t="str">
        <v>False</v>
      </c>
      <c r="E148" s="44" t="n">
        <v>2616</v>
      </c>
      <c r="F148" s="110" t="n">
        <v>2.64</v>
      </c>
      <c r="G148" s="110" t="n">
        <v>2.72</v>
      </c>
      <c r="H148" s="112" t="n">
        <v>2.05</v>
      </c>
      <c r="I148" s="112" t="n">
        <v>3.42</v>
      </c>
      <c r="J148" s="3"/>
    </row>
    <row r="149" ht="27" customHeight="1">
      <c r="A149" s="3"/>
      <c r="B149" s="59" t="str">
        <v>D1_all</v>
      </c>
      <c r="C149" s="59" t="str">
        <v>Human</v>
      </c>
      <c r="D149" s="59" t="str">
        <v>True</v>
      </c>
      <c r="E149" s="45" t="n">
        <v>9366</v>
      </c>
      <c r="F149" s="111" t="n">
        <v>3.05</v>
      </c>
      <c r="G149" s="111" t="n">
        <v>3.05</v>
      </c>
      <c r="H149" s="113" t="n">
        <v>2.61</v>
      </c>
      <c r="I149" s="113" t="n">
        <v>3.55</v>
      </c>
      <c r="J149" s="3"/>
    </row>
    <row r="150" ht="27" customHeight="1">
      <c r="A150" s="3"/>
      <c r="B150" s="58" t="str">
        <v>D1_all</v>
      </c>
      <c r="C150" s="58" t="str">
        <v>Human</v>
      </c>
      <c r="D150" s="58" t="str">
        <v>False</v>
      </c>
      <c r="E150" s="44" t="n">
        <v>11318</v>
      </c>
      <c r="F150" s="110" t="n">
        <v>1.74</v>
      </c>
      <c r="G150" s="110" t="n">
        <v>1.74</v>
      </c>
      <c r="H150" s="112" t="n">
        <v>1.47</v>
      </c>
      <c r="I150" s="112" t="n">
        <v>2.01</v>
      </c>
      <c r="J150" s="3"/>
    </row>
    <row r="151" ht="27" customHeight="1">
      <c r="A151" s="3"/>
      <c r="B151" s="59" t="str">
        <v>D1_all</v>
      </c>
      <c r="C151" s="59" t="str">
        <v>family</v>
      </c>
      <c r="D151" s="59" t="str">
        <v>MaxQuant</v>
      </c>
      <c r="E151" s="45" t="n">
        <v>7360</v>
      </c>
      <c r="F151" s="111" t="n">
        <v>2.66</v>
      </c>
      <c r="G151" s="111" t="n">
        <v>2.61</v>
      </c>
      <c r="H151" s="113" t="n">
        <v>2.14</v>
      </c>
      <c r="I151" s="113" t="n">
        <v>3.1</v>
      </c>
      <c r="J151" s="3"/>
    </row>
    <row r="152" ht="27" customHeight="1">
      <c r="A152" s="3"/>
      <c r="B152" s="58" t="str">
        <v>D1_all</v>
      </c>
      <c r="C152" s="58" t="str">
        <v>family</v>
      </c>
      <c r="D152" s="58" t="str">
        <v>Other tools only</v>
      </c>
      <c r="E152" s="44" t="n">
        <v>3015</v>
      </c>
      <c r="F152" s="110" t="n">
        <v>2.55</v>
      </c>
      <c r="G152" s="110" t="n">
        <v>2.6</v>
      </c>
      <c r="H152" s="112" t="n">
        <v>1.94</v>
      </c>
      <c r="I152" s="112" t="n">
        <v>3.25</v>
      </c>
      <c r="J152" s="3"/>
    </row>
    <row r="153" ht="27" customHeight="1">
      <c r="A153" s="3"/>
      <c r="B153" s="59" t="str">
        <v>D1_all</v>
      </c>
      <c r="C153" s="59" t="str">
        <v>family</v>
      </c>
      <c r="D153" s="59" t="str">
        <v>Several of these</v>
      </c>
      <c r="E153" s="45" t="n">
        <v>2734</v>
      </c>
      <c r="F153" s="111" t="n">
        <v>2.05</v>
      </c>
      <c r="G153" s="111" t="n">
        <v>2.05</v>
      </c>
      <c r="H153" s="113" t="n">
        <v>1.48</v>
      </c>
      <c r="I153" s="113" t="n">
        <v>2.7</v>
      </c>
      <c r="J153" s="3"/>
    </row>
    <row r="154" ht="27" customHeight="1">
      <c r="A154" s="3"/>
      <c r="B154" s="58" t="str">
        <v>D1_all</v>
      </c>
      <c r="C154" s="58" t="str">
        <v>family</v>
      </c>
      <c r="D154" s="58" t="str">
        <v>Mascot</v>
      </c>
      <c r="E154" s="44" t="n">
        <v>2577</v>
      </c>
      <c r="F154" s="110" t="n">
        <v>1.75</v>
      </c>
      <c r="G154" s="110" t="n">
        <v>1.83</v>
      </c>
      <c r="H154" s="112" t="n">
        <v>1.31</v>
      </c>
      <c r="I154" s="112" t="n">
        <v>2.42</v>
      </c>
      <c r="J154" s="3"/>
    </row>
    <row r="155" ht="27" customHeight="1">
      <c r="A155" s="3"/>
      <c r="B155" s="59" t="str">
        <v>D1_all</v>
      </c>
      <c r="C155" s="59" t="str">
        <v>family</v>
      </c>
      <c r="D155" s="59" t="str">
        <v>Proteome Discoverer</v>
      </c>
      <c r="E155" s="45" t="n">
        <v>2478</v>
      </c>
      <c r="F155" s="111" t="n">
        <v>1.78</v>
      </c>
      <c r="G155" s="111" t="n">
        <v>1.84</v>
      </c>
      <c r="H155" s="113" t="n">
        <v>1.32</v>
      </c>
      <c r="I155" s="113" t="n">
        <v>2.44</v>
      </c>
      <c r="J155" s="3"/>
    </row>
    <row r="156" ht="27" customHeight="1">
      <c r="A156" s="3"/>
      <c r="B156" s="58" t="str">
        <v>D1_all</v>
      </c>
      <c r="C156" s="58" t="str">
        <v>family</v>
      </c>
      <c r="D156" s="58" t="str">
        <v>No tool named</v>
      </c>
      <c r="E156" s="44" t="n">
        <v>2168</v>
      </c>
      <c r="F156" s="110" t="n">
        <v>1.98</v>
      </c>
      <c r="G156" s="110" t="n">
        <v>1.67</v>
      </c>
      <c r="H156" s="112" t="n">
        <v>1.14</v>
      </c>
      <c r="I156" s="112" t="n">
        <v>2.35</v>
      </c>
      <c r="J156" s="3"/>
    </row>
    <row r="157" ht="27" customHeight="1">
      <c r="A157" s="3"/>
      <c r="B157" s="59" t="str">
        <v>D1_all</v>
      </c>
      <c r="C157" s="59" t="str">
        <v>family</v>
      </c>
      <c r="D157" s="59" t="str">
        <v>Spectronaut</v>
      </c>
      <c r="E157" s="45" t="n">
        <v>234</v>
      </c>
      <c r="F157" s="111" t="n">
        <v>5.13</v>
      </c>
      <c r="G157" s="111" t="n">
        <v>5.57</v>
      </c>
      <c r="H157" s="113" t="n">
        <v>2.26</v>
      </c>
      <c r="I157" s="113" t="n">
        <v>10.83</v>
      </c>
      <c r="J157" s="3"/>
    </row>
    <row r="158" ht="27" customHeight="1">
      <c r="A158" s="3"/>
      <c r="B158" s="58" t="str">
        <v>D1_all</v>
      </c>
      <c r="C158" s="58" t="str">
        <v>family</v>
      </c>
      <c r="D158" s="58" t="str">
        <v>FragPipe</v>
      </c>
      <c r="E158" s="44" t="n">
        <v>66</v>
      </c>
      <c r="F158" s="110" t="n">
        <v>10.61</v>
      </c>
      <c r="G158" s="110" t="n">
        <v>13.64</v>
      </c>
      <c r="H158" s="112" t="n">
        <v>2.23</v>
      </c>
      <c r="I158" s="112" t="n">
        <v>26.13</v>
      </c>
      <c r="J158" s="3"/>
    </row>
    <row r="159" ht="27" customHeight="1">
      <c r="A159" s="3"/>
      <c r="B159" s="59" t="str">
        <v>D1_all</v>
      </c>
      <c r="C159" s="59" t="str">
        <v>country</v>
      </c>
      <c r="D159" s="59" t="str">
        <v>United States</v>
      </c>
      <c r="E159" s="45" t="n">
        <v>3030</v>
      </c>
      <c r="F159" s="111" t="n">
        <v>2.11</v>
      </c>
      <c r="G159" s="111" t="n">
        <v>2.04</v>
      </c>
      <c r="H159" s="113" t="n">
        <v>1.48</v>
      </c>
      <c r="I159" s="113" t="n">
        <v>2.75</v>
      </c>
      <c r="J159" s="3"/>
    </row>
    <row r="160" ht="27" customHeight="1">
      <c r="A160" s="3"/>
      <c r="B160" s="58" t="str">
        <v>D1_all</v>
      </c>
      <c r="C160" s="58" t="str">
        <v>country</v>
      </c>
      <c r="D160" s="58" t="str">
        <v>Germany</v>
      </c>
      <c r="E160" s="44" t="n">
        <v>2655</v>
      </c>
      <c r="F160" s="110" t="n">
        <v>3.39</v>
      </c>
      <c r="G160" s="110" t="n">
        <v>3.43</v>
      </c>
      <c r="H160" s="112" t="n">
        <v>2.46</v>
      </c>
      <c r="I160" s="112" t="n">
        <v>4.51</v>
      </c>
      <c r="J160" s="3"/>
    </row>
    <row r="161" ht="27" customHeight="1">
      <c r="A161" s="3"/>
      <c r="B161" s="59" t="str">
        <v>D1_all</v>
      </c>
      <c r="C161" s="59" t="str">
        <v>country</v>
      </c>
      <c r="D161" s="59" t="str">
        <v>China</v>
      </c>
      <c r="E161" s="45" t="n">
        <v>1645</v>
      </c>
      <c r="F161" s="111" t="n">
        <v>1.82</v>
      </c>
      <c r="G161" s="111" t="n">
        <v>2.12</v>
      </c>
      <c r="H161" s="113" t="n">
        <v>1.18</v>
      </c>
      <c r="I161" s="113" t="n">
        <v>2.83</v>
      </c>
      <c r="J161" s="3"/>
    </row>
    <row r="162" ht="27" customHeight="1">
      <c r="A162" s="3"/>
      <c r="B162" s="58" t="str">
        <v>D1_all</v>
      </c>
      <c r="C162" s="58" t="str">
        <v>country</v>
      </c>
      <c r="D162" s="58" t="str">
        <v>United Kingdom</v>
      </c>
      <c r="E162" s="44" t="n">
        <v>1315</v>
      </c>
      <c r="F162" s="110" t="n">
        <v>2.36</v>
      </c>
      <c r="G162" s="110" t="n">
        <v>2.35</v>
      </c>
      <c r="H162" s="112" t="n">
        <v>1.55</v>
      </c>
      <c r="I162" s="112" t="n">
        <v>3.11</v>
      </c>
      <c r="J162" s="3"/>
    </row>
    <row r="163" ht="27" customHeight="1">
      <c r="A163" s="3"/>
      <c r="B163" s="59" t="str">
        <v>D1_all</v>
      </c>
      <c r="C163" s="59" t="str">
        <v>country</v>
      </c>
      <c r="D163" s="59" t="str">
        <v>France</v>
      </c>
      <c r="E163" s="45" t="n">
        <v>841</v>
      </c>
      <c r="F163" s="111" t="n">
        <v>2.85</v>
      </c>
      <c r="G163" s="111" t="n">
        <v>2.45</v>
      </c>
      <c r="H163" s="113" t="n">
        <v>1.46</v>
      </c>
      <c r="I163" s="113" t="n">
        <v>3.59</v>
      </c>
      <c r="J163" s="3"/>
    </row>
    <row r="164" ht="27" customHeight="1">
      <c r="A164" s="3"/>
      <c r="B164" s="58" t="str">
        <v>D1_all</v>
      </c>
      <c r="C164" s="58" t="str">
        <v>country</v>
      </c>
      <c r="D164" s="58" t="str">
        <v>Australia</v>
      </c>
      <c r="E164" s="44" t="n">
        <v>605</v>
      </c>
      <c r="F164" s="110" t="n">
        <v>2.48</v>
      </c>
      <c r="G164" s="110" t="n">
        <v>2.57</v>
      </c>
      <c r="H164" s="112" t="n">
        <v>1.22</v>
      </c>
      <c r="I164" s="112" t="n">
        <v>4.11</v>
      </c>
      <c r="J164" s="3"/>
    </row>
    <row r="165" ht="27" customHeight="1">
      <c r="A165" s="3"/>
      <c r="B165" s="59" t="str">
        <v>D1_all</v>
      </c>
      <c r="C165" s="59" t="str">
        <v>country</v>
      </c>
      <c r="D165" s="59" t="str">
        <v>Netherlands</v>
      </c>
      <c r="E165" s="45" t="n">
        <v>576</v>
      </c>
      <c r="F165" s="111" t="n">
        <v>2.08</v>
      </c>
      <c r="G165" s="111" t="n">
        <v>2.24</v>
      </c>
      <c r="H165" s="113" t="n">
        <v>0.79</v>
      </c>
      <c r="I165" s="113" t="n">
        <v>4.33</v>
      </c>
      <c r="J165" s="3"/>
    </row>
    <row r="166" ht="27" customHeight="1">
      <c r="A166" s="3"/>
      <c r="B166" s="58" t="str">
        <v>D1_all</v>
      </c>
      <c r="C166" s="58" t="str">
        <v>country</v>
      </c>
      <c r="D166" s="58" t="str">
        <v>Switzerland</v>
      </c>
      <c r="E166" s="44" t="n">
        <v>512</v>
      </c>
      <c r="F166" s="110" t="n">
        <v>5.08</v>
      </c>
      <c r="G166" s="110" t="n">
        <v>4.4</v>
      </c>
      <c r="H166" s="112" t="n">
        <v>1.96</v>
      </c>
      <c r="I166" s="112" t="n">
        <v>7.6</v>
      </c>
      <c r="J166" s="3"/>
    </row>
    <row r="167" ht="27" customHeight="1">
      <c r="A167" s="3"/>
      <c r="B167" s="59" t="str">
        <v>D1_all</v>
      </c>
      <c r="C167" s="59" t="str">
        <v>country</v>
      </c>
      <c r="D167" s="59" t="str">
        <v>Spain</v>
      </c>
      <c r="E167" s="45" t="n">
        <v>470</v>
      </c>
      <c r="F167" s="111" t="n">
        <v>1.91</v>
      </c>
      <c r="G167" s="111" t="n">
        <v>1.65</v>
      </c>
      <c r="H167" s="113" t="n">
        <v>0.64</v>
      </c>
      <c r="I167" s="113" t="n">
        <v>3.08</v>
      </c>
      <c r="J167" s="3"/>
    </row>
    <row r="168" ht="27" customHeight="1">
      <c r="A168" s="3"/>
      <c r="B168" s="58" t="str">
        <v>D1_all</v>
      </c>
      <c r="C168" s="58" t="str">
        <v>country</v>
      </c>
      <c r="D168" s="58" t="str">
        <v>Canada</v>
      </c>
      <c r="E168" s="44" t="n">
        <v>435</v>
      </c>
      <c r="F168" s="110" t="n">
        <v>2.3</v>
      </c>
      <c r="G168" s="110" t="n">
        <v>2.19</v>
      </c>
      <c r="H168" s="112" t="n">
        <v>0.86</v>
      </c>
      <c r="I168" s="112" t="n">
        <v>3.9</v>
      </c>
      <c r="J168" s="3"/>
    </row>
    <row r="169" ht="27" customHeight="1">
      <c r="A169" s="3"/>
      <c r="B169" s="59" t="str">
        <v>D1_all</v>
      </c>
      <c r="C169" s="59" t="str">
        <v>country</v>
      </c>
      <c r="D169" s="59" t="str">
        <v>Denmark</v>
      </c>
      <c r="E169" s="45" t="n">
        <v>404</v>
      </c>
      <c r="F169" s="111" t="n">
        <v>4.7</v>
      </c>
      <c r="G169" s="111" t="n">
        <v>4.08</v>
      </c>
      <c r="H169" s="113" t="n">
        <v>1.99</v>
      </c>
      <c r="I169" s="113" t="n">
        <v>6.4</v>
      </c>
      <c r="J169" s="3"/>
    </row>
    <row r="170" ht="27" customHeight="1">
      <c r="A170" s="3"/>
      <c r="B170" s="58" t="str">
        <v>D1_all</v>
      </c>
      <c r="C170" s="58" t="str">
        <v>country</v>
      </c>
      <c r="D170" s="58" t="str">
        <v>Austria</v>
      </c>
      <c r="E170" s="44" t="n">
        <v>354</v>
      </c>
      <c r="F170" s="110" t="n">
        <v>1.41</v>
      </c>
      <c r="G170" s="110" t="n">
        <v>2.63</v>
      </c>
      <c r="H170" s="112" t="n">
        <v>0.12</v>
      </c>
      <c r="I170" s="112" t="n">
        <v>5.86</v>
      </c>
      <c r="J170" s="3"/>
    </row>
    <row r="171" ht="27" customHeight="1">
      <c r="A171" s="3"/>
      <c r="B171" s="59" t="str">
        <v>D1_all</v>
      </c>
      <c r="C171" s="59" t="str">
        <v>vendor_single</v>
      </c>
      <c r="D171" s="59" t="str">
        <v>Thermo Fisher</v>
      </c>
      <c r="E171" s="45" t="n">
        <v>17574</v>
      </c>
      <c r="F171" s="111" t="n">
        <v>2.45</v>
      </c>
      <c r="G171" s="111" t="n">
        <v>2.44</v>
      </c>
      <c r="H171" s="113" t="n">
        <v>2.13</v>
      </c>
      <c r="I171" s="113" t="n">
        <v>2.74</v>
      </c>
      <c r="J171" s="3"/>
    </row>
    <row r="172" ht="27" customHeight="1">
      <c r="A172" s="3"/>
      <c r="B172" s="58" t="str">
        <v>D1_all</v>
      </c>
      <c r="C172" s="58" t="str">
        <v>vendor_single</v>
      </c>
      <c r="D172" s="58" t="str">
        <v>SCIEX</v>
      </c>
      <c r="E172" s="44" t="n">
        <v>1232</v>
      </c>
      <c r="F172" s="110" t="n">
        <v>1.95</v>
      </c>
      <c r="G172" s="110" t="n">
        <v>1.88</v>
      </c>
      <c r="H172" s="112" t="n">
        <v>0.93</v>
      </c>
      <c r="I172" s="112" t="n">
        <v>2.76</v>
      </c>
      <c r="J172" s="3"/>
    </row>
    <row r="173" ht="27" customHeight="1">
      <c r="A173" s="3"/>
      <c r="B173" s="59" t="str">
        <v>D1_all</v>
      </c>
      <c r="C173" s="59" t="str">
        <v>vendor_single</v>
      </c>
      <c r="D173" s="59" t="str">
        <v>Bruker</v>
      </c>
      <c r="E173" s="45" t="n">
        <v>726</v>
      </c>
      <c r="F173" s="111" t="n">
        <v>2.34</v>
      </c>
      <c r="G173" s="111" t="n">
        <v>1.92</v>
      </c>
      <c r="H173" s="113" t="n">
        <v>0.98</v>
      </c>
      <c r="I173" s="113" t="n">
        <v>2.99</v>
      </c>
      <c r="J173" s="3"/>
    </row>
    <row r="174" ht="27" customHeight="1">
      <c r="A174" s="3"/>
      <c r="B174" s="58" t="str">
        <v>D1_all</v>
      </c>
      <c r="C174" s="58" t="str">
        <v>vendor_single</v>
      </c>
      <c r="D174" s="58" t="str">
        <v>Waters</v>
      </c>
      <c r="E174" s="44" t="n">
        <v>489</v>
      </c>
      <c r="F174" s="110" t="n">
        <v>0.2</v>
      </c>
      <c r="G174" s="110" t="n">
        <v>0.22</v>
      </c>
      <c r="H174" s="112" t="n">
        <v>0</v>
      </c>
      <c r="I174" s="112" t="n">
        <v>0.68</v>
      </c>
      <c r="J174" s="3"/>
    </row>
    <row r="175" ht="27" customHeight="1">
      <c r="A175" s="3"/>
      <c r="B175" s="66" t="str">
        <v>D1_all</v>
      </c>
      <c r="C175" s="66" t="str">
        <v>vendor_single</v>
      </c>
      <c r="D175" s="66" t="str">
        <v>Multiple</v>
      </c>
      <c r="E175" s="68" t="n">
        <v>355</v>
      </c>
      <c r="F175" s="114" t="n">
        <v>2.25</v>
      </c>
      <c r="G175" s="114" t="n">
        <v>2.96</v>
      </c>
      <c r="H175" s="115" t="n">
        <v>0.97</v>
      </c>
      <c r="I175" s="115" t="n">
        <v>5.41</v>
      </c>
      <c r="J175" s="3"/>
    </row>
    <row r="176" ht="23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23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23" customHeight="1">
      <c r="A178" s="3"/>
      <c r="B178" s="53" t="str">
        <v>Table scope</v>
      </c>
      <c r="C178" s="5"/>
      <c r="D178" s="5"/>
      <c r="E178" s="5"/>
      <c r="F178" s="5"/>
      <c r="G178" s="5"/>
      <c r="H178" s="3"/>
      <c r="I178" s="3"/>
      <c r="J178" s="3"/>
    </row>
    <row r="179" ht="27" customHeight="1">
      <c r="A179" s="3"/>
      <c r="B179" s="12" t="str">
        <v>Non-primary cross-group accession mentions: standardised rates by feature (Fig. 5d)</v>
      </c>
      <c r="C179" s="12"/>
      <c r="D179" s="12"/>
      <c r="E179" s="12"/>
      <c r="F179" s="12"/>
      <c r="G179" s="12"/>
      <c r="H179" s="3"/>
      <c r="I179" s="3"/>
      <c r="J179" s="3"/>
    </row>
    <row r="180" ht="23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23" customHeight="1">
      <c r="A181" s="3"/>
      <c r="B181" s="53" t="str">
        <v>Definition</v>
      </c>
      <c r="C181" s="5"/>
      <c r="D181" s="5"/>
      <c r="E181" s="5"/>
      <c r="F181" s="5"/>
      <c r="G181" s="5"/>
      <c r="H181" s="3"/>
      <c r="I181" s="3"/>
      <c r="J181" s="3"/>
    </row>
    <row r="182" ht="87" customHeight="1">
      <c r="A182" s="3"/>
      <c r="B182" s="12" t="str">
        <v>D1 = non-primary mention in release year or next three calendar years by a paper naming 2 or more contributor groups and at most 100 datasets. Same-year chronology is unresolved. D2 = publication-year lag at least 2, excluding primary papers linked to another deposit of the same group; D3 = both. D1_all removes the 100-dataset ceiling. Rates directly standardised over release-year by human-status strata, with 1000 group-bootstrap draws; empty strata omitted and weights renormalised. Thermo Fisher only denotes instrument-vendor assignment.</v>
      </c>
      <c r="C182" s="12"/>
      <c r="D182" s="12"/>
      <c r="E182" s="12"/>
      <c r="F182" s="12"/>
      <c r="G182" s="12"/>
      <c r="H182" s="3"/>
      <c r="I182" s="3"/>
      <c r="J182" s="3"/>
    </row>
    <row r="183" ht="23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23" customHeight="1">
      <c r="A184" s="3"/>
      <c r="B184" s="53" t="str">
        <v>Source</v>
      </c>
      <c r="C184" s="5"/>
      <c r="D184" s="5"/>
      <c r="E184" s="5"/>
      <c r="F184" s="5"/>
      <c r="G184" s="5"/>
      <c r="H184" s="3"/>
      <c r="I184" s="3"/>
      <c r="J184" s="3"/>
    </row>
    <row r="185" ht="27" customHeight="1">
      <c r="A185" s="3"/>
      <c r="B185" s="12" t="str">
        <v>Reuse-mentions/Reuse-rates.csv</v>
      </c>
      <c r="C185" s="12"/>
      <c r="D185" s="12"/>
      <c r="E185" s="12"/>
      <c r="F185" s="12"/>
      <c r="G185" s="12"/>
      <c r="H185" s="3"/>
      <c r="I185" s="3"/>
      <c r="J185" s="3"/>
    </row>
    <row r="186" ht="23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23" customHeight="1">
      <c r="A187" s="3"/>
      <c r="B187" s="53" t="str">
        <v>Original column names</v>
      </c>
      <c r="C187" s="5"/>
      <c r="D187" s="5"/>
      <c r="E187" s="5"/>
      <c r="F187" s="5"/>
      <c r="G187" s="5"/>
      <c r="H187" s="3"/>
      <c r="I187" s="3"/>
      <c r="J187" s="3"/>
    </row>
    <row r="188" ht="27" customHeight="1">
      <c r="A188" s="3"/>
      <c r="B188" s="12" t="str">
        <v>outcome, feature, level, n, raw_pct, std_pct, lo, hi</v>
      </c>
      <c r="C188" s="12"/>
      <c r="D188" s="12"/>
      <c r="E188" s="12"/>
      <c r="F188" s="12"/>
      <c r="G188" s="12"/>
      <c r="H188" s="3"/>
      <c r="I188" s="3"/>
      <c r="J188" s="3"/>
    </row>
    <row r="189" ht="23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23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23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23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23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23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23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23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23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23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23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23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</sheetData>
  <mergeCells>
    <mergeCell ref="B2:G2"/>
    <mergeCell ref="B3:G3"/>
    <mergeCell ref="B4:G4"/>
    <mergeCell ref="B178:G178"/>
    <mergeCell ref="B179:G179"/>
    <mergeCell ref="B181:G181"/>
    <mergeCell ref="B182:G182"/>
    <mergeCell ref="B184:G184"/>
    <mergeCell ref="B185:G185"/>
    <mergeCell ref="B187:G187"/>
    <mergeCell ref="B188:G188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9" orientation="landscape" scale="90" useFirstPageNumber="0"/>
  <headerFooter>
    <oddFooter>&amp;LPRIDE supplementary tables&amp;CS19&amp;RPage &amp;P of &amp;N</oddFooter>
  </headerFooter>
  <tableParts count="1">
    <tablePart ns1:id="Rca6caec3cd2f46d1"/>
  </tableParts>
</worksheet>
</file>

<file path=xl/worksheets/sheet21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3" ySplit="7" topLeftCell="D8" activePane="bottomRight" state="frozen"/>
    </sheetView>
  </sheetViews>
  <sheetFormatPr defaultRowHeight="15"/>
  <cols>
    <col min="1" max="1" width="3" hidden="0" customWidth="1"/>
    <col min="2" max="2" width="61" hidden="0" customWidth="1"/>
    <col min="3" max="3" width="24" hidden="0" customWidth="1"/>
    <col min="4" max="4" width="14" hidden="0" customWidth="1"/>
    <col min="5" max="5" width="14" hidden="0" customWidth="1"/>
    <col min="6" max="6" width="14" hidden="0" customWidth="1"/>
  </cols>
  <sheetData>
    <row r="1" ht="12" customHeight="1">
      <c r="A1" s="3"/>
      <c r="B1" s="3"/>
      <c r="C1" s="3"/>
      <c r="D1" s="3"/>
      <c r="E1" s="3"/>
      <c r="F1" s="3"/>
      <c r="G1" s="3"/>
    </row>
    <row r="2" ht="23" customHeight="1">
      <c r="A2" s="3"/>
      <c r="B2" s="5" t="str">
        <v>SUPPLEMENTARY TABLE S20</v>
      </c>
      <c r="C2" s="5"/>
      <c r="D2" s="5"/>
      <c r="E2" s="5"/>
      <c r="F2" s="5"/>
      <c r="G2" s="3"/>
    </row>
    <row r="3" ht="30" customHeight="1">
      <c r="A3" s="3"/>
      <c r="B3" s="7" t="str">
        <v>Adjusted associations and sensitivity analyses</v>
      </c>
      <c r="C3" s="7"/>
      <c r="D3" s="7"/>
      <c r="E3" s="7"/>
      <c r="F3" s="7"/>
      <c r="G3" s="3"/>
    </row>
    <row r="4" ht="29" customHeight="1">
      <c r="A4" s="3"/>
      <c r="B4" s="12" t="str">
        <v>Odds ratios and crude rate ratios are distinct estimates. SDRF timing prevents a directional interpretation.</v>
      </c>
      <c r="C4" s="12"/>
      <c r="D4" s="12"/>
      <c r="E4" s="12"/>
      <c r="F4" s="12"/>
      <c r="G4" s="3"/>
    </row>
    <row r="5" ht="23" customHeight="1">
      <c r="A5" s="3"/>
      <c r="B5" s="28"/>
      <c r="C5" s="28"/>
      <c r="D5" s="28"/>
      <c r="E5" s="28"/>
      <c r="F5" s="28"/>
      <c r="G5" s="3"/>
    </row>
    <row r="6" ht="23" customHeight="1">
      <c r="A6" s="3"/>
      <c r="B6" s="4" t="str">
        <v>Contents</v>
      </c>
      <c r="C6" s="3"/>
      <c r="D6" s="3"/>
      <c r="E6" s="3"/>
      <c r="F6" s="3"/>
      <c r="G6" s="3"/>
    </row>
    <row r="7" ht="43" customHeight="1">
      <c r="A7" s="3"/>
      <c r="B7" s="35" t="str">
        <v>Analysis</v>
      </c>
      <c r="C7" s="36" t="str">
        <v>Feature</v>
      </c>
      <c r="D7" s="36" t="str">
        <v>Ratio estimate</v>
      </c>
      <c r="E7" s="36" t="str">
        <v>Lower 95% bound</v>
      </c>
      <c r="F7" s="37" t="str">
        <v>Upper 95% bound</v>
      </c>
      <c r="G7" s="3"/>
    </row>
    <row r="8" ht="27" customHeight="1">
      <c r="A8" s="3"/>
      <c r="B8" s="58" t="str">
        <v>Adjusted odds ratio (A3)</v>
      </c>
      <c r="C8" s="58" t="str">
        <v>standard</v>
      </c>
      <c r="D8" s="62" t="n">
        <v>0.89</v>
      </c>
      <c r="E8" s="64" t="n">
        <v>0.66</v>
      </c>
      <c r="F8" s="64" t="n">
        <v>1.19</v>
      </c>
      <c r="G8" s="3"/>
    </row>
    <row r="9" ht="27" customHeight="1">
      <c r="A9" s="3"/>
      <c r="B9" s="59" t="str">
        <v>Adjusted odds ratio (A3)</v>
      </c>
      <c r="C9" s="59" t="str">
        <v>dia</v>
      </c>
      <c r="D9" s="63" t="n">
        <v>1.71</v>
      </c>
      <c r="E9" s="65" t="n">
        <v>1.19</v>
      </c>
      <c r="F9" s="65" t="n">
        <v>2.39</v>
      </c>
      <c r="G9" s="3"/>
    </row>
    <row r="10" ht="27" customHeight="1">
      <c r="A10" s="3"/>
      <c r="B10" s="58" t="str">
        <v>Adjusted odds ratio (A3)</v>
      </c>
      <c r="C10" s="58" t="str">
        <v>sdrf</v>
      </c>
      <c r="D10" s="62" t="n">
        <v>4.08</v>
      </c>
      <c r="E10" s="64" t="n">
        <v>2.38</v>
      </c>
      <c r="F10" s="64" t="n">
        <v>6.65</v>
      </c>
      <c r="G10" s="3"/>
    </row>
    <row r="11" ht="27" customHeight="1">
      <c r="A11" s="3"/>
      <c r="B11" s="59" t="str">
        <v>Adjusted odds ratio (A3)</v>
      </c>
      <c r="C11" s="59" t="str">
        <v>human</v>
      </c>
      <c r="D11" s="63" t="n">
        <v>1.39</v>
      </c>
      <c r="E11" s="65" t="n">
        <v>1.14</v>
      </c>
      <c r="F11" s="65" t="n">
        <v>1.7</v>
      </c>
      <c r="G11" s="3"/>
    </row>
    <row r="12" ht="27" customHeight="1">
      <c r="A12" s="3"/>
      <c r="B12" s="58" t="str">
        <v>Adjusted odds ratio (A3)</v>
      </c>
      <c r="C12" s="58" t="str">
        <v>Thermo Fisher only</v>
      </c>
      <c r="D12" s="62" t="n">
        <v>1.28</v>
      </c>
      <c r="E12" s="64" t="n">
        <v>0.99</v>
      </c>
      <c r="F12" s="64" t="n">
        <v>1.74</v>
      </c>
      <c r="G12" s="3"/>
    </row>
    <row r="13" ht="27" customHeight="1">
      <c r="A13" s="3"/>
      <c r="B13" s="59" t="str">
        <v>Adjusted odds ratio (A3)</v>
      </c>
      <c r="C13" s="59" t="str">
        <v>log_citations</v>
      </c>
      <c r="D13" s="63" t="n">
        <v>1.35</v>
      </c>
      <c r="E13" s="65" t="n">
        <v>1.2</v>
      </c>
      <c r="F13" s="65" t="n">
        <v>1.52</v>
      </c>
      <c r="G13" s="3"/>
    </row>
    <row r="14" ht="27" customHeight="1">
      <c r="A14" s="3"/>
      <c r="B14" s="58" t="str">
        <v>Crude rate ratio, A2_excluding_method_like</v>
      </c>
      <c r="C14" s="58" t="str">
        <v>standard</v>
      </c>
      <c r="D14" s="62" t="n">
        <v>0.93</v>
      </c>
      <c r="E14" s="64" t="n">
        <v>0.66</v>
      </c>
      <c r="F14" s="64" t="n">
        <v>1.25</v>
      </c>
      <c r="G14" s="3"/>
    </row>
    <row r="15" ht="27" customHeight="1">
      <c r="A15" s="3"/>
      <c r="B15" s="59" t="str">
        <v>Crude rate ratio, A2_excluding_method_like</v>
      </c>
      <c r="C15" s="59" t="str">
        <v>dia</v>
      </c>
      <c r="D15" s="63" t="n">
        <v>1.92</v>
      </c>
      <c r="E15" s="65" t="n">
        <v>1.3</v>
      </c>
      <c r="F15" s="65" t="n">
        <v>2.73</v>
      </c>
      <c r="G15" s="3"/>
    </row>
    <row r="16" ht="27" customHeight="1">
      <c r="A16" s="3"/>
      <c r="B16" s="58" t="str">
        <v>Crude rate ratio, A2_excluding_method_like</v>
      </c>
      <c r="C16" s="58" t="str">
        <v>sdrf</v>
      </c>
      <c r="D16" s="62" t="n">
        <v>7.7</v>
      </c>
      <c r="E16" s="64" t="n">
        <v>4.55</v>
      </c>
      <c r="F16" s="64" t="n">
        <v>11.88</v>
      </c>
      <c r="G16" s="3"/>
    </row>
    <row r="17" ht="27" customHeight="1">
      <c r="A17" s="3"/>
      <c r="B17" s="59" t="str">
        <v>Crude rate ratio, A2_excluding_method_like</v>
      </c>
      <c r="C17" s="59" t="str">
        <v>human</v>
      </c>
      <c r="D17" s="63" t="n">
        <v>1.6</v>
      </c>
      <c r="E17" s="65" t="n">
        <v>1.29</v>
      </c>
      <c r="F17" s="65" t="n">
        <v>1.99</v>
      </c>
      <c r="G17" s="3"/>
    </row>
    <row r="18" ht="27" customHeight="1">
      <c r="A18" s="3"/>
      <c r="B18" s="58" t="str">
        <v>Crude rate ratio, A2_excluding_method_like</v>
      </c>
      <c r="C18" s="58" t="str">
        <v>Thermo Fisher only</v>
      </c>
      <c r="D18" s="62" t="n">
        <v>1.48</v>
      </c>
      <c r="E18" s="64" t="n">
        <v>1.03</v>
      </c>
      <c r="F18" s="64" t="n">
        <v>2.28</v>
      </c>
      <c r="G18" s="3"/>
    </row>
    <row r="19" ht="27" customHeight="1">
      <c r="A19" s="3"/>
      <c r="B19" s="59" t="str">
        <v>Crude rate ratio, A5_window_5y_release_to_2020</v>
      </c>
      <c r="C19" s="59" t="str">
        <v>standard</v>
      </c>
      <c r="D19" s="63" t="n">
        <v>1.04</v>
      </c>
      <c r="E19" s="65" t="n">
        <v>0.73</v>
      </c>
      <c r="F19" s="65" t="n">
        <v>1.4</v>
      </c>
      <c r="G19" s="3"/>
    </row>
    <row r="20" ht="27" customHeight="1">
      <c r="A20" s="3"/>
      <c r="B20" s="58" t="str">
        <v>Crude rate ratio, A5_window_5y_release_to_2020</v>
      </c>
      <c r="C20" s="58" t="str">
        <v>dia</v>
      </c>
      <c r="D20" s="62" t="n">
        <v>1.76</v>
      </c>
      <c r="E20" s="64" t="n">
        <v>0.98</v>
      </c>
      <c r="F20" s="64" t="n">
        <v>2.53</v>
      </c>
      <c r="G20" s="3"/>
    </row>
    <row r="21" ht="27" customHeight="1">
      <c r="A21" s="3"/>
      <c r="B21" s="59" t="str">
        <v>Crude rate ratio, A5_window_5y_release_to_2020</v>
      </c>
      <c r="C21" s="59" t="str">
        <v>sdrf</v>
      </c>
      <c r="D21" s="63" t="n">
        <v>8.37</v>
      </c>
      <c r="E21" s="65" t="n">
        <v>5.73</v>
      </c>
      <c r="F21" s="65" t="n">
        <v>11.53</v>
      </c>
      <c r="G21" s="3"/>
    </row>
    <row r="22" ht="27" customHeight="1">
      <c r="A22" s="3"/>
      <c r="B22" s="58" t="str">
        <v>Crude rate ratio, A5_window_5y_release_to_2020</v>
      </c>
      <c r="C22" s="58" t="str">
        <v>human</v>
      </c>
      <c r="D22" s="62" t="n">
        <v>2</v>
      </c>
      <c r="E22" s="64" t="n">
        <v>1.63</v>
      </c>
      <c r="F22" s="64" t="n">
        <v>2.45</v>
      </c>
      <c r="G22" s="3"/>
    </row>
    <row r="23" ht="27" customHeight="1">
      <c r="A23" s="3"/>
      <c r="B23" s="59" t="str">
        <v>Crude rate ratio, A5_window_5y_release_to_2020</v>
      </c>
      <c r="C23" s="59" t="str">
        <v>Thermo Fisher only</v>
      </c>
      <c r="D23" s="63" t="n">
        <v>1.69</v>
      </c>
      <c r="E23" s="65" t="n">
        <v>1.16</v>
      </c>
      <c r="F23" s="65" t="n">
        <v>2.75</v>
      </c>
      <c r="G23" s="3"/>
    </row>
    <row r="24" ht="39" customHeight="1">
      <c r="A24" s="3"/>
      <c r="B24" s="76" t="str">
        <v>Crude rate ratio, A4 human; Thermo Fisher only; no DIA detected; MaxQuant/PD</v>
      </c>
      <c r="C24" s="76" t="str">
        <v>standard</v>
      </c>
      <c r="D24" s="86" t="n">
        <v>0.74</v>
      </c>
      <c r="E24" s="87" t="n">
        <v>0.28</v>
      </c>
      <c r="F24" s="87" t="n">
        <v>1.3</v>
      </c>
      <c r="G24" s="3"/>
    </row>
    <row r="25" ht="23" customHeight="1">
      <c r="A25" s="3"/>
      <c r="B25" s="3"/>
      <c r="C25" s="3"/>
      <c r="D25" s="3"/>
      <c r="E25" s="3"/>
      <c r="F25" s="3"/>
      <c r="G25" s="3"/>
    </row>
    <row r="26" ht="23" customHeight="1">
      <c r="A26" s="3"/>
      <c r="B26" s="3"/>
      <c r="C26" s="3"/>
      <c r="D26" s="3"/>
      <c r="E26" s="3"/>
      <c r="F26" s="3"/>
      <c r="G26" s="3"/>
    </row>
    <row r="27" ht="23" customHeight="1">
      <c r="A27" s="3"/>
      <c r="B27" s="53" t="str">
        <v>Table scope</v>
      </c>
      <c r="C27" s="5"/>
      <c r="D27" s="5"/>
      <c r="E27" s="5"/>
      <c r="F27" s="5"/>
      <c r="G27" s="3"/>
    </row>
    <row r="28" ht="27" customHeight="1">
      <c r="A28" s="3"/>
      <c r="B28" s="12" t="str">
        <v>Reuse: adjusted odds ratios and robustness checks (Fig. 5e)</v>
      </c>
      <c r="C28" s="12"/>
      <c r="D28" s="12"/>
      <c r="E28" s="12"/>
      <c r="F28" s="12"/>
      <c r="G28" s="3"/>
    </row>
    <row r="29" ht="23" customHeight="1">
      <c r="A29" s="3"/>
      <c r="B29" s="3"/>
      <c r="C29" s="3"/>
      <c r="D29" s="3"/>
      <c r="E29" s="3"/>
      <c r="F29" s="3"/>
      <c r="G29" s="3"/>
    </row>
    <row r="30" ht="23" customHeight="1">
      <c r="A30" s="3"/>
      <c r="B30" s="53" t="str">
        <v>Definition</v>
      </c>
      <c r="C30" s="5"/>
      <c r="D30" s="5"/>
      <c r="E30" s="5"/>
      <c r="F30" s="5"/>
      <c r="G30" s="3"/>
    </row>
    <row r="31" ht="87" customHeight="1">
      <c r="A31" s="3"/>
      <c r="B31" s="12" t="str">
        <v>Ridge binomial logit GLM with alpha 1e-4 and L1_wt 0; 2000 contributor-group bootstrap draws. Predictors: standard files, detected DIA, SDRF, human and Thermo Fisher-only vendor assignment. Adjustment: release year, pooled field/software categories, log10 bytes floored at 1e6, log(1+citations) and missing-citation indicator. See Supplementary Methods for missingness and category reference levels. A4/A5 report crude rate ratios with 1000 group-bootstrap draws. A5 uses release year plus five calendar years among 2013-2020 releases. SDRF direction is not interpretable because files may be added after release.</v>
      </c>
      <c r="C31" s="12"/>
      <c r="D31" s="12"/>
      <c r="E31" s="12"/>
      <c r="F31" s="12"/>
      <c r="G31" s="3"/>
    </row>
    <row r="32" ht="23" customHeight="1">
      <c r="A32" s="3"/>
      <c r="B32" s="3"/>
      <c r="C32" s="3"/>
      <c r="D32" s="3"/>
      <c r="E32" s="3"/>
      <c r="F32" s="3"/>
      <c r="G32" s="3"/>
    </row>
    <row r="33" ht="23" customHeight="1">
      <c r="A33" s="3"/>
      <c r="B33" s="53" t="str">
        <v>Source</v>
      </c>
      <c r="C33" s="5"/>
      <c r="D33" s="5"/>
      <c r="E33" s="5"/>
      <c r="F33" s="5"/>
      <c r="G33" s="3"/>
    </row>
    <row r="34" ht="27" customHeight="1">
      <c r="A34" s="3"/>
      <c r="B34" s="12" t="str">
        <v>Attacks/reuse-mentions/Results.json</v>
      </c>
      <c r="C34" s="12"/>
      <c r="D34" s="12"/>
      <c r="E34" s="12"/>
      <c r="F34" s="12"/>
      <c r="G34" s="3"/>
    </row>
    <row r="35" ht="23" customHeight="1">
      <c r="A35" s="3"/>
      <c r="B35" s="3"/>
      <c r="C35" s="3"/>
      <c r="D35" s="3"/>
      <c r="E35" s="3"/>
      <c r="F35" s="3"/>
      <c r="G35" s="3"/>
    </row>
    <row r="36" ht="23" customHeight="1">
      <c r="A36" s="3"/>
      <c r="B36" s="53" t="str">
        <v>Original column names</v>
      </c>
      <c r="C36" s="5"/>
      <c r="D36" s="5"/>
      <c r="E36" s="5"/>
      <c r="F36" s="5"/>
      <c r="G36" s="3"/>
    </row>
    <row r="37" ht="27" customHeight="1">
      <c r="A37" s="3"/>
      <c r="B37" s="12" t="str">
        <v>test, feature, estimate, lo, hi</v>
      </c>
      <c r="C37" s="12"/>
      <c r="D37" s="12"/>
      <c r="E37" s="12"/>
      <c r="F37" s="12"/>
      <c r="G37" s="3"/>
    </row>
    <row r="38" ht="23" customHeight="1">
      <c r="A38" s="3"/>
      <c r="B38" s="3"/>
      <c r="C38" s="3"/>
      <c r="D38" s="3"/>
      <c r="E38" s="3"/>
      <c r="F38" s="3"/>
      <c r="G38" s="3"/>
    </row>
    <row r="39" ht="23" customHeight="1">
      <c r="A39" s="3"/>
      <c r="B39" s="3"/>
      <c r="C39" s="3"/>
      <c r="D39" s="3"/>
      <c r="E39" s="3"/>
      <c r="F39" s="3"/>
      <c r="G39" s="3"/>
    </row>
    <row r="40" ht="23" customHeight="1">
      <c r="A40" s="3"/>
      <c r="B40" s="3"/>
      <c r="C40" s="3"/>
      <c r="D40" s="3"/>
      <c r="E40" s="3"/>
      <c r="F40" s="3"/>
      <c r="G40" s="3"/>
    </row>
    <row r="41" ht="23" customHeight="1">
      <c r="A41" s="3"/>
      <c r="B41" s="3"/>
      <c r="C41" s="3"/>
      <c r="D41" s="3"/>
      <c r="E41" s="3"/>
      <c r="F41" s="3"/>
      <c r="G41" s="3"/>
    </row>
    <row r="42" ht="23" customHeight="1">
      <c r="A42" s="3"/>
      <c r="B42" s="3"/>
      <c r="C42" s="3"/>
      <c r="D42" s="3"/>
      <c r="E42" s="3"/>
      <c r="F42" s="3"/>
      <c r="G42" s="3"/>
    </row>
    <row r="43" ht="23" customHeight="1">
      <c r="A43" s="3"/>
      <c r="B43" s="3"/>
      <c r="C43" s="3"/>
      <c r="D43" s="3"/>
      <c r="E43" s="3"/>
      <c r="F43" s="3"/>
      <c r="G43" s="3"/>
    </row>
    <row r="44" ht="23" customHeight="1">
      <c r="A44" s="3"/>
      <c r="B44" s="3"/>
      <c r="C44" s="3"/>
      <c r="D44" s="3"/>
      <c r="E44" s="3"/>
      <c r="F44" s="3"/>
      <c r="G44" s="3"/>
    </row>
    <row r="45" ht="23" customHeight="1">
      <c r="A45" s="3"/>
      <c r="B45" s="3"/>
      <c r="C45" s="3"/>
      <c r="D45" s="3"/>
      <c r="E45" s="3"/>
      <c r="F45" s="3"/>
      <c r="G45" s="3"/>
    </row>
    <row r="46" ht="23" customHeight="1">
      <c r="A46" s="3"/>
      <c r="B46" s="3"/>
      <c r="C46" s="3"/>
      <c r="D46" s="3"/>
      <c r="E46" s="3"/>
      <c r="F46" s="3"/>
      <c r="G46" s="3"/>
    </row>
    <row r="47" ht="23" customHeight="1">
      <c r="A47" s="3"/>
      <c r="B47" s="3"/>
      <c r="C47" s="3"/>
      <c r="D47" s="3"/>
      <c r="E47" s="3"/>
      <c r="F47" s="3"/>
      <c r="G47" s="3"/>
    </row>
    <row r="48" ht="23" customHeight="1">
      <c r="A48" s="3"/>
      <c r="B48" s="3"/>
      <c r="C48" s="3"/>
      <c r="D48" s="3"/>
      <c r="E48" s="3"/>
      <c r="F48" s="3"/>
      <c r="G48" s="3"/>
    </row>
    <row r="49" ht="23" customHeight="1">
      <c r="A49" s="3"/>
      <c r="B49" s="3"/>
      <c r="C49" s="3"/>
      <c r="D49" s="3"/>
      <c r="E49" s="3"/>
      <c r="F49" s="3"/>
      <c r="G49" s="3"/>
    </row>
  </sheetData>
  <mergeCells>
    <mergeCell ref="B2:F2"/>
    <mergeCell ref="B3:F3"/>
    <mergeCell ref="B4:F4"/>
    <mergeCell ref="B27:F27"/>
    <mergeCell ref="B28:F28"/>
    <mergeCell ref="B30:F30"/>
    <mergeCell ref="B31:F31"/>
    <mergeCell ref="B33:F33"/>
    <mergeCell ref="B34:F34"/>
    <mergeCell ref="B36:F36"/>
    <mergeCell ref="B37:F37"/>
  </mergeCells>
  <hyperlinks>
    <hyperlink ref="B6" location="'Contents'!B2"/>
  </hyperlinks>
  <printOptions headings="0" gridLines="0" horizontalCentered="0"/>
  <pageMargins left="0.3" right="0.3" top="0.4" bottom="0.4" header="0.15" footer="0.2"/>
  <pageSetup paperSize="9" orientation="landscape" scale="90" useFirstPageNumber="0"/>
  <headerFooter>
    <oddFooter>&amp;LPRIDE supplementary tables&amp;CS20&amp;RPage &amp;P of &amp;N</oddFooter>
  </headerFooter>
  <tableParts count="1">
    <tablePart ns1:id="Rb6c95b097f144113"/>
  </tableParts>
</worksheet>
</file>

<file path=xl/worksheets/sheet22.xml><?xml version="1.0" encoding="utf-8"?>
<worksheet xmlns="http://schemas.openxmlformats.org/spreadsheetml/2006/main" xmlns:ns1="http://schemas.openxmlformats.org/officeDocument/2006/relationships">
  <sheetPr>
    <tabColor rgb="FF2E6F9E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12" hidden="0" customWidth="1"/>
    <col min="3" max="3" width="69" hidden="0" customWidth="1"/>
    <col min="4" max="4" width="12" hidden="0" customWidth="1"/>
    <col min="5" max="5" width="24" hidden="0" customWidth="1"/>
    <col min="6" max="6" width="86" hidden="0" customWidth="1"/>
  </cols>
  <sheetData>
    <row r="1" ht="12" customHeight="1">
      <c r="A1" s="3"/>
      <c r="B1" s="3"/>
      <c r="C1" s="3"/>
      <c r="D1" s="3"/>
      <c r="E1" s="3"/>
      <c r="F1" s="3"/>
      <c r="G1" s="3"/>
    </row>
    <row r="2" ht="23" customHeight="1">
      <c r="A2" s="3"/>
      <c r="B2" s="5" t="str">
        <v>SUPPLEMENTARY TABLE S21</v>
      </c>
      <c r="C2" s="5"/>
      <c r="D2" s="5"/>
      <c r="E2" s="5"/>
      <c r="F2" s="5"/>
      <c r="G2" s="3"/>
    </row>
    <row r="3" ht="30" customHeight="1">
      <c r="A3" s="3"/>
      <c r="B3" s="7" t="str">
        <v>Findings and robustness assessments</v>
      </c>
      <c r="C3" s="7"/>
      <c r="D3" s="7"/>
      <c r="E3" s="7"/>
      <c r="F3" s="7"/>
      <c r="G3" s="3"/>
    </row>
    <row r="4" ht="29" customHeight="1">
      <c r="A4" s="3"/>
      <c r="B4" s="12" t="str">
        <v>Read the robustness verdict and corrected wording alongside the original status.</v>
      </c>
      <c r="C4" s="12"/>
      <c r="D4" s="12"/>
      <c r="E4" s="12"/>
      <c r="F4" s="12"/>
      <c r="G4" s="3"/>
    </row>
    <row r="5" ht="23" customHeight="1">
      <c r="A5" s="3"/>
      <c r="B5" s="28"/>
      <c r="C5" s="28"/>
      <c r="D5" s="28"/>
      <c r="E5" s="28"/>
      <c r="F5" s="28"/>
      <c r="G5" s="3"/>
    </row>
    <row r="6" ht="23" customHeight="1">
      <c r="A6" s="3"/>
      <c r="B6" s="4" t="str">
        <v>Contents</v>
      </c>
      <c r="C6" s="3"/>
      <c r="D6" s="3"/>
      <c r="E6" s="3"/>
      <c r="F6" s="3"/>
      <c r="G6" s="3"/>
    </row>
    <row r="7" ht="43" customHeight="1">
      <c r="A7" s="3"/>
      <c r="B7" s="35" t="str">
        <v>Finding ID</v>
      </c>
      <c r="C7" s="36" t="str">
        <v>Finding</v>
      </c>
      <c r="D7" s="36" t="str">
        <v>Status</v>
      </c>
      <c r="E7" s="36" t="str">
        <v>Robustness verdict</v>
      </c>
      <c r="F7" s="37" t="str">
        <v>Wording after review</v>
      </c>
      <c r="G7" s="3"/>
    </row>
    <row r="8" ht="27" customHeight="1">
      <c r="A8" s="3"/>
      <c r="B8" s="58" t="str">
        <v>A1</v>
      </c>
      <c r="C8" s="58" t="str">
        <v>Most bytes are vendor raw data</v>
      </c>
      <c r="D8" s="58" t="str">
        <v>S</v>
      </c>
      <c r="E8" s="58"/>
      <c r="F8" s="58"/>
      <c r="G8" s="3"/>
    </row>
    <row r="9" ht="27" customHeight="1">
      <c r="A9" s="3"/>
      <c r="B9" s="59" t="str">
        <v>A2</v>
      </c>
      <c r="C9" s="59" t="str">
        <v>Open spectra (mzML, MGF…) are deposited less often over time</v>
      </c>
      <c r="D9" s="59" t="str">
        <v>S</v>
      </c>
      <c r="E9" s="59"/>
      <c r="F9" s="59"/>
      <c r="G9" s="3"/>
    </row>
    <row r="10" ht="27" customHeight="1">
      <c r="A10" s="3"/>
      <c r="B10" s="58" t="str">
        <v>A3</v>
      </c>
      <c r="C10" s="58" t="str">
        <v>Rule-based file classifications were checked against format references; sensitivity and false-positive rates were not independently measured.</v>
      </c>
      <c r="D10" s="58" t="str">
        <v>V</v>
      </c>
      <c r="E10" s="58"/>
      <c r="F10" s="58" t="str">
        <v>Rule-based file classifications were checked against format references; sensitivity and false-positive rates were not independently measured.</v>
      </c>
      <c r="G10" s="3"/>
    </row>
    <row r="11" ht="27" customHeight="1">
      <c r="A11" s="3"/>
      <c r="B11" s="59" t="str">
        <v>A4</v>
      </c>
      <c r="C11" s="59" t="str">
        <v>Inside results zips</v>
      </c>
      <c r="D11" s="59" t="str">
        <v>V</v>
      </c>
      <c r="E11" s="59"/>
      <c r="F11" s="59"/>
      <c r="G11" s="3"/>
    </row>
    <row r="12" ht="27" customHeight="1">
      <c r="A12" s="3"/>
      <c r="B12" s="58" t="str">
        <v>A5</v>
      </c>
      <c r="C12" s="58" t="str">
        <v>Results-zip bytes are mostly scan-level and intermediate files</v>
      </c>
      <c r="D12" s="58" t="str">
        <v>S</v>
      </c>
      <c r="E12" s="58"/>
      <c r="F12" s="58"/>
      <c r="G12" s="3"/>
    </row>
    <row r="13" ht="27" customHeight="1">
      <c r="A13" s="3"/>
      <c r="B13" s="59" t="str">
        <v>A6</v>
      </c>
      <c r="C13" s="59" t="str">
        <v>Standard result files (mzIdentML/mzTab) found only inside archives</v>
      </c>
      <c r="D13" s="59" t="str">
        <v>V</v>
      </c>
      <c r="E13" s="59"/>
      <c r="F13" s="59"/>
      <c r="G13" s="3"/>
    </row>
    <row r="14" ht="39" customHeight="1">
      <c r="A14" s="3"/>
      <c r="B14" s="58" t="str">
        <v>B1</v>
      </c>
      <c r="C14" s="58" t="str">
        <v>Share of datasets with identifiable results depends on how deeply files are inspected</v>
      </c>
      <c r="D14" s="58" t="str">
        <v>V</v>
      </c>
      <c r="E14" s="58"/>
      <c r="F14" s="58"/>
      <c r="G14" s="3"/>
    </row>
    <row r="15" ht="39" customHeight="1">
      <c r="A15" s="3"/>
      <c r="B15" s="59" t="str">
        <v>B2</v>
      </c>
      <c r="C15" s="59" t="str">
        <v>Table headers identify additional candidate tool outputs. Model-assisted rule review is not independent validation; detected shares are not established lower bounds.</v>
      </c>
      <c r="D15" s="59" t="str">
        <v>S</v>
      </c>
      <c r="E15" s="59" t="str">
        <v>Detection finding retained; independent accuracy validation not performed</v>
      </c>
      <c r="F15" s="59" t="str">
        <v>Table headers identify additional candidate tool outputs. Model-assisted rule review is not independent validation; detected shares are not established lower bounds.</v>
      </c>
      <c r="G15" s="3"/>
    </row>
    <row r="16" ht="27" customHeight="1">
      <c r="A16" s="3"/>
      <c r="B16" s="58" t="str">
        <v>B3</v>
      </c>
      <c r="C16" s="58" t="str">
        <v>Renamed tables meeting PRIDE's header definitions</v>
      </c>
      <c r="D16" s="58" t="str">
        <v>S</v>
      </c>
      <c r="E16" s="58"/>
      <c r="F16" s="58"/>
      <c r="G16" s="3"/>
    </row>
    <row r="17" ht="39" customHeight="1">
      <c r="A17" s="3"/>
      <c r="B17" s="59" t="str">
        <v>B4</v>
      </c>
      <c r="C17" s="59" t="str">
        <v>Identifiable-results trend among datasets with no DIA detected by software family, all depths</v>
      </c>
      <c r="D17" s="59" t="str">
        <v>S</v>
      </c>
      <c r="E17" s="59"/>
      <c r="F17" s="59"/>
      <c r="G17" s="3"/>
    </row>
    <row r="18" ht="27" customHeight="1">
      <c r="A18" s="3"/>
      <c r="B18" s="58" t="str">
        <v>B5</v>
      </c>
      <c r="C18" s="58" t="str">
        <v>Groups first depositing in 2013–16, no DIA detected, all depths</v>
      </c>
      <c r="D18" s="58" t="str">
        <v>S</v>
      </c>
      <c r="E18" s="58"/>
      <c r="F18" s="58"/>
      <c r="G18" s="3"/>
    </row>
    <row r="19" ht="39" customHeight="1">
      <c r="A19" s="3"/>
      <c r="B19" s="59" t="str">
        <v>C1</v>
      </c>
      <c r="C19" s="59" t="str">
        <v>Among datasets with no DIA detected the standard-file rate is flat. The overall change follows the growth of DIA.</v>
      </c>
      <c r="D19" s="59" t="str">
        <v>V</v>
      </c>
      <c r="E19" s="59"/>
      <c r="F19" s="59"/>
      <c r="G19" s="3"/>
    </row>
    <row r="20" ht="27" customHeight="1">
      <c r="A20" s="3"/>
      <c r="B20" s="58" t="str">
        <v>C2</v>
      </c>
      <c r="C20" s="58" t="str">
        <v>Same groups, before and during DIA</v>
      </c>
      <c r="D20" s="58" t="str">
        <v>V</v>
      </c>
      <c r="E20" s="58"/>
      <c r="F20" s="58"/>
      <c r="G20" s="3"/>
    </row>
    <row r="21" ht="27" customHeight="1">
      <c r="A21" s="3"/>
      <c r="B21" s="59" t="str">
        <v>C3</v>
      </c>
      <c r="C21" s="59" t="str">
        <v>Standard-file rate by the software's export capability</v>
      </c>
      <c r="D21" s="59" t="str">
        <v>S</v>
      </c>
      <c r="E21" s="59"/>
      <c r="F21" s="59"/>
      <c r="G21" s="3"/>
    </row>
    <row r="22" ht="27" customHeight="1">
      <c r="A22" s="3"/>
      <c r="B22" s="58" t="str">
        <v>C4</v>
      </c>
      <c r="C22" s="58" t="str">
        <v>Default-on export not deposited</v>
      </c>
      <c r="D22" s="58" t="str">
        <v>S</v>
      </c>
      <c r="E22" s="58"/>
      <c r="F22" s="58"/>
      <c r="G22" s="3"/>
    </row>
    <row r="23" ht="39" customHeight="1">
      <c r="A23" s="3"/>
      <c r="B23" s="59" t="str">
        <v>C5</v>
      </c>
      <c r="C23" s="59" t="str">
        <v>Held-out prediction of standard-file deposition (6,093 publications, PI groups held out)</v>
      </c>
      <c r="D23" s="59" t="str">
        <v>V</v>
      </c>
      <c r="E23" s="59"/>
      <c r="F23" s="59"/>
      <c r="G23" s="3"/>
    </row>
    <row r="24" ht="39" customHeight="1">
      <c r="A24" s="3"/>
      <c r="B24" s="58" t="str">
        <v>D1</v>
      </c>
      <c r="C24" s="58" t="str">
        <v>A group's next dataset repeats how its results are packaged more often than comparable datasets</v>
      </c>
      <c r="D24" s="58" t="str">
        <v>W</v>
      </c>
      <c r="E24" s="58" t="str">
        <v>W</v>
      </c>
      <c r="F24" s="58" t="str">
        <v>See D1 above.</v>
      </c>
      <c r="G24" s="3"/>
    </row>
    <row r="25" ht="27" customHeight="1">
      <c r="A25" s="3"/>
      <c r="B25" s="59" t="str">
        <v>D2</v>
      </c>
      <c r="C25" s="59" t="str">
        <v>Persistence decays with time between deposits</v>
      </c>
      <c r="D25" s="59" t="str">
        <v>W</v>
      </c>
      <c r="E25" s="59"/>
      <c r="F25" s="59"/>
      <c r="G25" s="3"/>
    </row>
    <row r="26" ht="27" customHeight="1">
      <c r="A26" s="3"/>
      <c r="B26" s="58" t="str">
        <v>D3</v>
      </c>
      <c r="C26" s="58" t="str">
        <v>First-year and returning groups contribute similarly to change over time</v>
      </c>
      <c r="D26" s="58" t="str">
        <v>V</v>
      </c>
      <c r="E26" s="58"/>
      <c r="F26" s="58"/>
      <c r="G26" s="3"/>
    </row>
    <row r="27" ht="27" customHeight="1">
      <c r="A27" s="3"/>
      <c r="B27" s="59" t="str">
        <v>D4</v>
      </c>
      <c r="C27" s="59" t="str">
        <v>First-year groups' share of datasets</v>
      </c>
      <c r="D27" s="59" t="str">
        <v>S</v>
      </c>
      <c r="E27" s="59"/>
      <c r="F27" s="59"/>
      <c r="G27" s="3"/>
    </row>
    <row r="28" ht="27" customHeight="1">
      <c r="A28" s="3"/>
      <c r="B28" s="58" t="str">
        <v>E1</v>
      </c>
      <c r="C28" s="58" t="str">
        <v>Tools are used more in the country where they were developed</v>
      </c>
      <c r="D28" s="58" t="str">
        <v>V</v>
      </c>
      <c r="E28" s="58"/>
      <c r="F28" s="58"/>
      <c r="G28" s="3"/>
    </row>
    <row r="29" ht="27" customHeight="1">
      <c r="A29" s="3"/>
      <c r="B29" s="59" t="str">
        <v>E2</v>
      </c>
      <c r="C29" s="59" t="str">
        <v>Software named in metadata vs software evidenced by files</v>
      </c>
      <c r="D29" s="59" t="str">
        <v>X</v>
      </c>
      <c r="E29" s="59"/>
      <c r="F29" s="59"/>
      <c r="G29" s="3"/>
    </row>
    <row r="30" ht="27" customHeight="1">
      <c r="A30" s="3"/>
      <c r="B30" s="58" t="str">
        <v>E3</v>
      </c>
      <c r="C30" s="58" t="str">
        <v>2026 file-requirement alignment, 2019–2025, with archives opened</v>
      </c>
      <c r="D30" s="58" t="str">
        <v>V</v>
      </c>
      <c r="E30" s="58"/>
      <c r="F30" s="58"/>
      <c r="G30" s="3"/>
    </row>
    <row r="31" ht="27" customHeight="1">
      <c r="A31" s="3"/>
      <c r="B31" s="59" t="str">
        <v>F1</v>
      </c>
      <c r="C31" s="59" t="str">
        <v>Bruker vs Thermo standard-file gap</v>
      </c>
      <c r="D31" s="59" t="str">
        <v>V</v>
      </c>
      <c r="E31" s="59"/>
      <c r="F31" s="59"/>
      <c r="G31" s="3"/>
    </row>
    <row r="32" ht="54" customHeight="1">
      <c r="A32" s="3"/>
      <c r="B32" s="58" t="str">
        <v>A0.1</v>
      </c>
      <c r="C32" s="58" t="str">
        <v>Contributor groups, journals and instrument-model use broadened; species narrowed; countries, vendors, tools and subfields showed no change robust to diversity order</v>
      </c>
      <c r="D32" s="58" t="str">
        <v>S</v>
      </c>
      <c r="E32" s="58"/>
      <c r="F32" s="58"/>
      <c r="G32" s="3"/>
    </row>
    <row r="33" ht="27" customHeight="1">
      <c r="A33" s="3"/>
      <c r="B33" s="59" t="str">
        <v>G1</v>
      </c>
      <c r="C33" s="59" t="str">
        <v>Raw files re-deposited by a different group (identical checksum)</v>
      </c>
      <c r="D33" s="59" t="str">
        <v>S</v>
      </c>
      <c r="E33" s="59"/>
      <c r="F33" s="59"/>
      <c r="G33" s="3"/>
    </row>
    <row r="34" ht="27" customHeight="1">
      <c r="A34" s="3"/>
      <c r="B34" s="58" t="str">
        <v>G2</v>
      </c>
      <c r="C34" s="58" t="str">
        <v>Per-file download counts</v>
      </c>
      <c r="D34" s="58" t="str">
        <v>X</v>
      </c>
      <c r="E34" s="58"/>
      <c r="F34" s="58"/>
      <c r="G34" s="3"/>
    </row>
    <row r="35" ht="27" customHeight="1">
      <c r="A35" s="3"/>
      <c r="B35" s="59" t="str">
        <v>G3</v>
      </c>
      <c r="C35" s="59" t="str">
        <v>Europe PMC "secondary" mentions as a reuse measure</v>
      </c>
      <c r="D35" s="59" t="str">
        <v>X</v>
      </c>
      <c r="E35" s="59"/>
      <c r="F35" s="59"/>
      <c r="G35" s="3"/>
    </row>
    <row r="36" ht="27" customHeight="1">
      <c r="A36" s="3"/>
      <c r="B36" s="58" t="str">
        <v>G4</v>
      </c>
      <c r="C36" s="58" t="str">
        <v>Per-run result names matching deposited raw runs</v>
      </c>
      <c r="D36" s="58" t="str">
        <v>X</v>
      </c>
      <c r="E36" s="58"/>
      <c r="F36" s="58"/>
      <c r="G36" s="3"/>
    </row>
    <row r="37" ht="39" customHeight="1">
      <c r="A37" s="3"/>
      <c r="B37" s="59" t="str">
        <v>G5</v>
      </c>
      <c r="C37" s="59" t="str">
        <v>Qualifying non-primary cross-group mentions in release year or the next three calendar years; within-year chronology unresolved.</v>
      </c>
      <c r="D37" s="59" t="str">
        <v>S</v>
      </c>
      <c r="E37" s="59"/>
      <c r="F37" s="59" t="str">
        <v>Qualifying non-primary cross-group mentions in release year or the next three calendar years; within-year chronology unresolved.</v>
      </c>
      <c r="G37" s="3"/>
    </row>
    <row r="38" ht="39" customHeight="1">
      <c r="A38" s="3"/>
      <c r="B38" s="58" t="str">
        <v>G6</v>
      </c>
      <c r="C38" s="58" t="str">
        <v>No detectable adjusted association between standard result files and qualifying mentions; a modest advantage remains possible.</v>
      </c>
      <c r="D38" s="58" t="str">
        <v>V</v>
      </c>
      <c r="E38" s="58"/>
      <c r="F38" s="58" t="str">
        <v>No detectable adjusted association between standard result files and qualifying mentions; a modest advantage remains possible.</v>
      </c>
      <c r="G38" s="3"/>
    </row>
    <row r="39" ht="54" customHeight="1">
      <c r="A39" s="3"/>
      <c r="B39" s="59" t="str">
        <v>G7</v>
      </c>
      <c r="C39" s="59" t="str">
        <v>DIA and human datasets had higher adjusted odds of qualifying mentions. The Thermo Fisher-only interval included one with 2000 bootstrap draws. Mentions do not establish reanalysis.</v>
      </c>
      <c r="D39" s="59" t="str">
        <v>V</v>
      </c>
      <c r="E39" s="59"/>
      <c r="F39" s="59" t="str">
        <v>DIA and human datasets had higher adjusted odds of qualifying mentions. The Thermo Fisher-only interval included one with 2000 bootstrap draws. Mentions do not establish reanalysis.</v>
      </c>
      <c r="G39" s="3"/>
    </row>
    <row r="40" ht="39" customHeight="1">
      <c r="A40" s="3"/>
      <c r="B40" s="58" t="str">
        <v>G8</v>
      </c>
      <c r="C40" s="58" t="str">
        <v>SDRF associated with qualifying mentions; temporal direction unresolved because metadata may be added after release.</v>
      </c>
      <c r="D40" s="58" t="str">
        <v>W</v>
      </c>
      <c r="E40" s="58"/>
      <c r="F40" s="58" t="str">
        <v>SDRF associated with qualifying mentions; temporal direction unresolved because metadata may be added after release.</v>
      </c>
      <c r="G40" s="3"/>
    </row>
    <row r="41" ht="39" customHeight="1">
      <c r="A41" s="3"/>
      <c r="B41" s="59" t="str">
        <v>G9</v>
      </c>
      <c r="C41" s="59" t="str">
        <v>File-type eligibility routes (Reuse-routes/) do not describe observed reuse</v>
      </c>
      <c r="D41" s="59" t="str">
        <v>W (as a thesis)</v>
      </c>
      <c r="E41" s="59"/>
      <c r="F41" s="59"/>
      <c r="G41" s="3"/>
    </row>
    <row r="42" ht="39" customHeight="1">
      <c r="A42" s="3"/>
      <c r="B42" s="58" t="str">
        <v>H1.1</v>
      </c>
      <c r="C42" s="58" t="str">
        <v>Run counts can be derived for almost all datasets. About a tenth of raw bytes sit in archives whose run count is unknown.</v>
      </c>
      <c r="D42" s="58" t="str">
        <v>S</v>
      </c>
      <c r="E42" s="58"/>
      <c r="F42" s="58"/>
      <c r="G42" s="3"/>
    </row>
    <row r="43" ht="129" customHeight="1">
      <c r="A43" s="3"/>
      <c r="B43" s="59" t="str">
        <v>H1.2</v>
      </c>
      <c r="C43" s="59" t="str">
        <v>The typical dataset has fewer runs over time. Large datasets (≥100 runs) became a smaller share.</v>
      </c>
      <c r="D43" s="59" t="str">
        <v>V</v>
      </c>
      <c r="E43" s="59" t="str">
        <v>W</v>
      </c>
      <c r="F43" s="59" t="str">
        <v>Median raw runs per dataset roughly halved, from 30 (2013–16) to 16 (2023–25; ratio 0.53, 0.48–0.63). Datasets with ≥100 runs: 19.8% → 9.0%. Survives undoing dataset splitting (runs per paper 36 → 20), exact-count checks, reweighting to the 2013–16 mix (30 → 15) and dropping single countries. Not seen in TMT, SCIEX or Bruker datasets. Within-group log2 run-count slope is 38% of the pooled slope among multi-year groups; this is not a decomposition of the median decline. The matched geometric-mean run-count ratio is 0.64 for first-time versus returning groups among 2018-2025 releases. Runs ≠ samples; bytes per dataset are flat.</v>
      </c>
      <c r="G43" s="3"/>
    </row>
    <row r="44" ht="129" customHeight="1">
      <c r="A44" s="3"/>
      <c r="B44" s="58" t="str">
        <v>H1.3</v>
      </c>
      <c r="C44" s="58" t="str">
        <v>Groups seen in both early and late windows did not shrink. Smaller datasets come with the changing set of contributors.</v>
      </c>
      <c r="D44" s="58" t="str">
        <v>S</v>
      </c>
      <c r="E44" s="58" t="str">
        <v>W</v>
      </c>
      <c r="F44" s="58" t="str">
        <v>Median raw runs per dataset roughly halved, from 30 (2013–16) to 16 (2023–25; ratio 0.53, 0.48–0.63). Datasets with ≥100 runs: 19.8% → 9.0%. Survives undoing dataset splitting (runs per paper 36 → 20), exact-count checks, reweighting to the 2013–16 mix (30 → 15) and dropping single countries. Not seen in TMT, SCIEX or Bruker datasets. Within-group log2 run-count slope is 38% of the pooled slope among multi-year groups; this is not a decomposition of the median decline. The matched geometric-mean run-count ratio is 0.64 for first-time versus returning groups among 2018-2025 releases. Runs ≠ samples; bytes per dataset are flat.</v>
      </c>
      <c r="G44" s="3"/>
    </row>
    <row r="45" ht="54" customHeight="1">
      <c r="A45" s="3"/>
      <c r="B45" s="59" t="str">
        <v>H1.4</v>
      </c>
      <c r="C45" s="59" t="str">
        <v>Mean log10 bytes per run decomposed in single-model, exact-count datasets: 2014-2016 versus 2023-2025. Model mix contributes 2.30-fold and within-model change 0.85-fold (0.80-1.10).</v>
      </c>
      <c r="D45" s="59" t="str">
        <v>V</v>
      </c>
      <c r="E45" s="59"/>
      <c r="F45" s="59" t="str">
        <v>Mean log10 bytes per run decomposed in single-model, exact-count datasets: 2014-2016 versus 2023-2025. Model mix contributes 2.30-fold and within-model change 0.85-fold (0.80-1.10).</v>
      </c>
      <c r="G45" s="3"/>
    </row>
    <row r="46" ht="39" customHeight="1">
      <c r="A46" s="3"/>
      <c r="B46" s="58" t="str">
        <v>H1.5</v>
      </c>
      <c r="C46" s="58" t="str">
        <v>Median total dataset size is about constant over 13 years. Fewer, larger runs offset each other.</v>
      </c>
      <c r="D46" s="58" t="str">
        <v>S</v>
      </c>
      <c r="E46" s="58"/>
      <c r="F46" s="58"/>
      <c r="G46" s="3"/>
    </row>
    <row r="47" ht="54" customHeight="1">
      <c r="A47" s="3"/>
      <c r="B47" s="59" t="str">
        <v>H1.6</v>
      </c>
      <c r="C47" s="59" t="str">
        <v>DIA-detected datasets are larger than other datasets of the same year, vendor and species type. Their runs are also larger on the same instrument model.</v>
      </c>
      <c r="D47" s="59" t="str">
        <v>V</v>
      </c>
      <c r="E47" s="59"/>
      <c r="F47" s="59"/>
      <c r="G47" s="3"/>
    </row>
    <row r="48" ht="39" customHeight="1">
      <c r="A48" s="3"/>
      <c r="B48" s="58" t="str">
        <v>H1.7</v>
      </c>
      <c r="C48" s="58" t="str">
        <v>By vendor: Bruker datasets have fewer runs in lower-bound terms, but the gap disappears in exact counts. Bruker and Waters runs are larger.</v>
      </c>
      <c r="D48" s="58" t="str">
        <v>S</v>
      </c>
      <c r="E48" s="58"/>
      <c r="F48" s="58"/>
      <c r="G48" s="3"/>
    </row>
    <row r="49" ht="27" customHeight="1">
      <c r="A49" s="3"/>
      <c r="B49" s="59" t="str">
        <v>H1.8</v>
      </c>
      <c r="C49" s="59" t="str">
        <v>Archive bytes are concentrated in a small share of datasets and groups.</v>
      </c>
      <c r="D49" s="59" t="str">
        <v>S</v>
      </c>
      <c r="E49" s="59"/>
      <c r="F49" s="59"/>
      <c r="G49" s="3"/>
    </row>
    <row r="50" ht="27" customHeight="1">
      <c r="A50" s="3"/>
      <c r="B50" s="58" t="str">
        <v>H3.1</v>
      </c>
      <c r="C50" s="58" t="str">
        <v>Instrument labels are mostly model-level, but the vocabulary has quirks.</v>
      </c>
      <c r="D50" s="58" t="str">
        <v>V</v>
      </c>
      <c r="E50" s="58"/>
      <c r="F50" s="58"/>
      <c r="G50" s="3"/>
    </row>
    <row r="51" ht="27" customHeight="1">
      <c r="A51" s="3"/>
      <c r="B51" s="59" t="str">
        <v>H3.2</v>
      </c>
      <c r="C51" s="59" t="str">
        <v>Model labels mostly agree with the raw file formats deposited.</v>
      </c>
      <c r="D51" s="59" t="str">
        <v>V</v>
      </c>
      <c r="E51" s="59"/>
      <c r="F51" s="59"/>
      <c r="G51" s="3"/>
    </row>
    <row r="52" ht="39" customHeight="1">
      <c r="A52" s="3"/>
      <c r="B52" s="58" t="str">
        <v>H3.3</v>
      </c>
      <c r="C52" s="58" t="str">
        <v>Each leading model holds a smaller peak share than the last. No model with ≥50 datasets disappears from deposits.</v>
      </c>
      <c r="D52" s="58" t="str">
        <v>S</v>
      </c>
      <c r="E52" s="58"/>
      <c r="F52" s="58"/>
      <c r="G52" s="3"/>
    </row>
    <row r="53" ht="39" customHeight="1">
      <c r="A53" s="3"/>
      <c r="B53" s="59" t="str">
        <v>H3.4</v>
      </c>
      <c r="C53" s="59" t="str">
        <v>Uptake at the same age (share 1 year after the first year with ≥5 datasets) differs among recent models.</v>
      </c>
      <c r="D53" s="59" t="str">
        <v>S</v>
      </c>
      <c r="E53" s="59"/>
      <c r="F53" s="59"/>
      <c r="G53" s="3"/>
    </row>
    <row r="54" ht="39" customHeight="1">
      <c r="A54" s="3"/>
      <c r="B54" s="58" t="str">
        <v>H3.5</v>
      </c>
      <c r="C54" s="58" t="str">
        <v>More models appear in deposits and shares are more even. The vendor mix changes little, so the diversification is mostly among Thermo models.</v>
      </c>
      <c r="D54" s="58" t="str">
        <v>V</v>
      </c>
      <c r="E54" s="58"/>
      <c r="F54" s="58"/>
      <c r="G54" s="3"/>
    </row>
    <row r="55" ht="54" customHeight="1">
      <c r="A55" s="3"/>
      <c r="B55" s="59" t="str">
        <v>H3.6</v>
      </c>
      <c r="C55" s="59" t="str">
        <v>Most of the regional timing of first appearance follows how many datasets each continent deposits. Asia shows a residual delay of about 1 year.</v>
      </c>
      <c r="D55" s="59" t="str">
        <v>S</v>
      </c>
      <c r="E55" s="59"/>
      <c r="F55" s="59"/>
      <c r="G55" s="3"/>
    </row>
    <row r="56" ht="39" customHeight="1">
      <c r="A56" s="3"/>
      <c r="B56" s="58" t="str">
        <v>H3.7</v>
      </c>
      <c r="C56" s="58" t="str">
        <v>A few datasets carry a model label years before that model is common in deposits.</v>
      </c>
      <c r="D56" s="58" t="str">
        <v>S</v>
      </c>
      <c r="E56" s="58"/>
      <c r="F56" s="58"/>
      <c r="G56" s="3"/>
    </row>
    <row r="57" ht="39" customHeight="1">
      <c r="A57" s="3"/>
      <c r="B57" s="59" t="str">
        <v>H2.1</v>
      </c>
      <c r="C57" s="59" t="str">
        <v>Raw-file names give a usable date for about a third of datasets. These dates behave like real calendar dates.</v>
      </c>
      <c r="D57" s="59" t="str">
        <v>V</v>
      </c>
      <c r="E57" s="59"/>
      <c r="F57" s="59"/>
      <c r="G57" s="3"/>
    </row>
    <row r="58" ht="54" customHeight="1">
      <c r="A58" s="3"/>
      <c r="B58" s="58" t="str">
        <v>H2.2</v>
      </c>
      <c r="C58" s="58" t="str">
        <v>Data are typically more than a year old when submitted</v>
      </c>
      <c r="D58" s="58" t="str">
        <v>V</v>
      </c>
      <c r="E58" s="58" t="str">
        <v>survives</v>
      </c>
      <c r="F58" s="58" t="str">
        <v>Median 492 days between the latest acquisition date in raw file names and submission. Range 491–498 days after excluding re-deposits, reanalyses and batch submissions. Covers the 34% of datasets with dated file names.</v>
      </c>
      <c r="G58" s="3"/>
    </row>
    <row r="59" ht="27" customHeight="1">
      <c r="A59" s="3"/>
      <c r="B59" s="59" t="str">
        <v>H2.3</v>
      </c>
      <c r="C59" s="59" t="str">
        <v>Pooled age at deposit shows no clear trend over time</v>
      </c>
      <c r="D59" s="59" t="str">
        <v>V</v>
      </c>
      <c r="E59" s="59"/>
      <c r="F59" s="59"/>
      <c r="G59" s="3"/>
    </row>
    <row r="60" ht="39" customHeight="1">
      <c r="A60" s="3"/>
      <c r="B60" s="58" t="str">
        <v>H2.4</v>
      </c>
      <c r="C60" s="58" t="str">
        <v>Within the same contributor group, later datasets carry older data</v>
      </c>
      <c r="D60" s="58" t="str">
        <v>V</v>
      </c>
      <c r="E60" s="58" t="str">
        <v>X</v>
      </c>
      <c r="F60" s="58" t="str">
        <v>The slope is reproduced by a permutation null; it is an artefact of how the measure is built.</v>
      </c>
      <c r="G60" s="3"/>
    </row>
    <row r="61" ht="27" customHeight="1">
      <c r="A61" s="3"/>
      <c r="B61" s="59" t="str">
        <v>H2.5</v>
      </c>
      <c r="C61" s="59" t="str">
        <v>Newer instrument models deposit younger data</v>
      </c>
      <c r="D61" s="59" t="str">
        <v>V</v>
      </c>
      <c r="E61" s="59"/>
      <c r="F61" s="59"/>
      <c r="G61" s="3"/>
    </row>
    <row r="62" ht="39" customHeight="1">
      <c r="A62" s="3"/>
      <c r="B62" s="58" t="str">
        <v>H2.6</v>
      </c>
      <c r="C62" s="58" t="str">
        <v>DIA datasets and datasets naming newer DIA software deposit younger data. Within one instrument model the DIA difference is inconsistent.</v>
      </c>
      <c r="D62" s="58" t="str">
        <v>S</v>
      </c>
      <c r="E62" s="58"/>
      <c r="F62" s="58"/>
      <c r="G62" s="3"/>
    </row>
    <row r="63" ht="27" customHeight="1">
      <c r="A63" s="3"/>
      <c r="B63" s="59" t="str">
        <v>H2.7</v>
      </c>
      <c r="C63" s="59" t="str">
        <v>Age at deposit differs between countries, also like-for-like</v>
      </c>
      <c r="D63" s="59" t="str">
        <v>S</v>
      </c>
      <c r="E63" s="59"/>
      <c r="F63" s="59"/>
      <c r="G63" s="3"/>
    </row>
    <row r="64" ht="39" customHeight="1">
      <c r="A64" s="3"/>
      <c r="B64" s="58" t="str">
        <v>H2.8</v>
      </c>
      <c r="C64" s="58" t="str">
        <v>A group's first dataset carries slightly older data than its later ones. Among repeat groups there is no consistent gradient by position.</v>
      </c>
      <c r="D64" s="58" t="str">
        <v>S</v>
      </c>
      <c r="E64" s="58"/>
      <c r="F64" s="58"/>
      <c r="G64" s="3"/>
    </row>
    <row r="65" ht="54" customHeight="1">
      <c r="A65" s="3"/>
      <c r="B65" s="59" t="str">
        <v>H2.9</v>
      </c>
      <c r="C65" s="59" t="str">
        <v>The submission-to-release lag looks longer by release year but not by submission year. Since 2018 a large share is released on bulk release days.</v>
      </c>
      <c r="D65" s="59" t="str">
        <v>V</v>
      </c>
      <c r="E65" s="59"/>
      <c r="F65" s="59"/>
      <c r="G65" s="3"/>
    </row>
    <row r="66" ht="39" customHeight="1">
      <c r="A66" s="3"/>
      <c r="B66" s="58" t="str">
        <v>H2.10</v>
      </c>
      <c r="C66" s="58" t="str">
        <v>About half of datasets become public more than 30 days after the linked paper's publication date. Most of these release on bulk release days.</v>
      </c>
      <c r="D66" s="58" t="str">
        <v>V</v>
      </c>
      <c r="E66" s="58"/>
      <c r="F66" s="58"/>
      <c r="G66" s="3"/>
    </row>
    <row r="67" ht="54" customHeight="1">
      <c r="A67" s="3"/>
      <c r="B67" s="59" t="str">
        <v>H2.11</v>
      </c>
      <c r="C67" s="59" t="str">
        <v>Datasets are submitted a few months before the paper appears, and that gap is longer in later release years. Time from latest acquisition to paper is longer for the same reason.</v>
      </c>
      <c r="D67" s="59" t="str">
        <v>S</v>
      </c>
      <c r="E67" s="59"/>
      <c r="F67" s="59"/>
      <c r="G67" s="3"/>
    </row>
    <row r="68" ht="39" customHeight="1">
      <c r="A68" s="3"/>
      <c r="B68" s="58" t="str">
        <v>H2.12</v>
      </c>
      <c r="C68" s="58" t="str">
        <v>The spread of file-name dates within a dataset narrowed over time. More files share each date.</v>
      </c>
      <c r="D68" s="58" t="str">
        <v>S</v>
      </c>
      <c r="E68" s="58"/>
      <c r="F68" s="58"/>
      <c r="G68" s="3"/>
    </row>
    <row r="69" ht="27" customHeight="1">
      <c r="A69" s="3"/>
      <c r="B69" s="59" t="str">
        <v>H2.13</v>
      </c>
      <c r="C69" s="59" t="str">
        <v>Some recorded submission dates predate files in the dataset</v>
      </c>
      <c r="D69" s="59" t="str">
        <v>S</v>
      </c>
      <c r="E69" s="59"/>
      <c r="F69" s="59"/>
      <c r="G69" s="3"/>
    </row>
    <row r="70" ht="27" customHeight="1">
      <c r="A70" s="3"/>
      <c r="B70" s="58" t="str">
        <v>H2.14</v>
      </c>
      <c r="C70" s="58" t="str">
        <v>Submissions follow the working week</v>
      </c>
      <c r="D70" s="58" t="str">
        <v>S</v>
      </c>
      <c r="E70" s="58"/>
      <c r="F70" s="58"/>
      <c r="G70" s="3"/>
    </row>
    <row r="71" ht="27" customHeight="1">
      <c r="A71" s="3"/>
      <c r="B71" s="59" t="str">
        <v>H4.1</v>
      </c>
      <c r="C71" s="59" t="str">
        <v>The share of datasets that deposit a FASTA file rose</v>
      </c>
      <c r="D71" s="59" t="str">
        <v>V</v>
      </c>
      <c r="E71" s="59"/>
      <c r="F71" s="59"/>
      <c r="G71" s="3"/>
    </row>
    <row r="72" ht="39" customHeight="1">
      <c r="A72" s="3"/>
      <c r="B72" s="58" t="str">
        <v>H4.2</v>
      </c>
      <c r="C72" s="58" t="str">
        <v>Datasets not involving humans deposit FASTA more often than human-only datasets</v>
      </c>
      <c r="D72" s="58" t="str">
        <v>S</v>
      </c>
      <c r="E72" s="58"/>
      <c r="F72" s="58"/>
      <c r="G72" s="3"/>
    </row>
    <row r="73" ht="27" customHeight="1">
      <c r="A73" s="3"/>
      <c r="B73" s="59" t="str">
        <v>H4.3</v>
      </c>
      <c r="C73" s="59" t="str">
        <v>FASTA deposition differs by named software</v>
      </c>
      <c r="D73" s="59" t="str">
        <v>S</v>
      </c>
      <c r="E73" s="59"/>
      <c r="F73" s="59"/>
      <c r="G73" s="3"/>
    </row>
    <row r="74" ht="27" customHeight="1">
      <c r="A74" s="3"/>
      <c r="B74" s="58" t="str">
        <v>H4.4</v>
      </c>
      <c r="C74" s="58" t="str">
        <v>FASTA deposition by results form</v>
      </c>
      <c r="D74" s="58" t="str">
        <v>S</v>
      </c>
      <c r="E74" s="58"/>
      <c r="F74" s="58"/>
      <c r="G74" s="3"/>
    </row>
    <row r="75" ht="39" customHeight="1">
      <c r="A75" s="3"/>
      <c r="B75" s="59" t="str">
        <v>H4.5</v>
      </c>
      <c r="C75" s="59" t="str">
        <v>Sources named in FASTA file names. Most names name no source. UniProt proteome IDs rose. IPI and Ensembl names declined.</v>
      </c>
      <c r="D75" s="59" t="str">
        <v>S</v>
      </c>
      <c r="E75" s="59"/>
      <c r="F75" s="59"/>
      <c r="G75" s="3"/>
    </row>
    <row r="76" ht="39" customHeight="1">
      <c r="A76" s="3"/>
      <c r="B76" s="58" t="str">
        <v>H4.6</v>
      </c>
      <c r="C76" s="58" t="str">
        <v>Databases are typically 1.5–2 years old at deposit (name date to submission date), with no clear change over 2015–2025</v>
      </c>
      <c r="D76" s="58" t="str">
        <v>V</v>
      </c>
      <c r="E76" s="58"/>
      <c r="F76" s="58"/>
      <c r="G76" s="3"/>
    </row>
    <row r="77" ht="54" customHeight="1">
      <c r="A77" s="3"/>
      <c r="B77" s="59" t="str">
        <v>H4.7</v>
      </c>
      <c r="C77" s="59" t="str">
        <v>About a quarter of datasets with a checksummed FASTA contain a file identical to one in another group's dataset. The most widely shared files are contaminant lists and UniProt human downloads.</v>
      </c>
      <c r="D77" s="59" t="str">
        <v>S</v>
      </c>
      <c r="E77" s="59"/>
      <c r="F77" s="59"/>
      <c r="G77" s="3"/>
    </row>
    <row r="78" ht="39" customHeight="1">
      <c r="A78" s="3"/>
      <c r="B78" s="58" t="str">
        <v>H4.8</v>
      </c>
      <c r="C78" s="58" t="str">
        <v>Groups re-deposit the same FASTA file across their own datasets, mostly within a year</v>
      </c>
      <c r="D78" s="58" t="str">
        <v>S</v>
      </c>
      <c r="E78" s="58"/>
      <c r="F78" s="58"/>
      <c r="G78" s="3"/>
    </row>
    <row r="79" ht="27" customHeight="1">
      <c r="A79" s="3"/>
      <c r="B79" s="59" t="str">
        <v>H4.9</v>
      </c>
      <c r="C79" s="59" t="str">
        <v>Inside archives FASTA is mostly bundled, not standalone</v>
      </c>
      <c r="D79" s="59" t="str">
        <v>S</v>
      </c>
      <c r="E79" s="59"/>
      <c r="F79" s="59"/>
      <c r="G79" s="3"/>
    </row>
    <row r="80" ht="27" customHeight="1">
      <c r="A80" s="3"/>
      <c r="B80" s="58" t="str">
        <v>H7.1</v>
      </c>
      <c r="C80" s="58" t="str">
        <v>Vendor raw data are about 84% of stored top-level bytes in every year</v>
      </c>
      <c r="D80" s="58" t="str">
        <v>V</v>
      </c>
      <c r="E80" s="58"/>
      <c r="F80" s="58"/>
      <c r="G80" s="3"/>
    </row>
    <row r="81" ht="39" customHeight="1">
      <c r="A81" s="3"/>
      <c r="B81" s="59" t="str">
        <v>H7.2</v>
      </c>
      <c r="C81" s="59" t="str">
        <v>Inside results zips, two thirds of uncompressed bytes are scan-level and intermediate search files. Final result tables are about 4%.</v>
      </c>
      <c r="D81" s="59" t="str">
        <v>V</v>
      </c>
      <c r="E81" s="59"/>
      <c r="F81" s="59"/>
      <c r="G81" s="3"/>
    </row>
    <row r="82" ht="27" customHeight="1">
      <c r="A82" s="3"/>
      <c r="B82" s="58" t="str">
        <v>H7.3</v>
      </c>
      <c r="C82" s="58" t="str">
        <v>Raw data inside results zips are concentrated in recent releases</v>
      </c>
      <c r="D82" s="58" t="str">
        <v>S</v>
      </c>
      <c r="E82" s="58"/>
      <c r="F82" s="58"/>
      <c r="G82" s="3"/>
    </row>
    <row r="83" ht="27" customHeight="1">
      <c r="A83" s="3"/>
      <c r="B83" s="59" t="str">
        <v>H7.4</v>
      </c>
      <c r="C83" s="59" t="str">
        <v>Raw runs deposited both loose and zipped are rare</v>
      </c>
      <c r="D83" s="59" t="str">
        <v>V</v>
      </c>
      <c r="E83" s="59"/>
      <c r="F83" s="59"/>
      <c r="G83" s="3"/>
    </row>
    <row r="84" ht="39" customHeight="1">
      <c r="A84" s="3"/>
      <c r="B84" s="58" t="str">
        <v>H7.5</v>
      </c>
      <c r="C84" s="58" t="str">
        <v>Byte-identical top-level files: most duplication is the same group re-depositing across datasets</v>
      </c>
      <c r="D84" s="58" t="str">
        <v>V</v>
      </c>
      <c r="E84" s="58"/>
      <c r="F84" s="58"/>
      <c r="G84" s="3"/>
    </row>
    <row r="85" ht="27" customHeight="1">
      <c r="A85" s="3"/>
      <c r="B85" s="59" t="str">
        <v>H7.6</v>
      </c>
      <c r="C85" s="59" t="str">
        <v>Few datasets are near-complete re-deposits</v>
      </c>
      <c r="D85" s="59" t="str">
        <v>S</v>
      </c>
      <c r="E85" s="59"/>
      <c r="F85" s="59"/>
      <c r="G85" s="3"/>
    </row>
    <row r="86" ht="27" customHeight="1">
      <c r="A86" s="3"/>
      <c r="B86" s="58" t="str">
        <v>H7.7</v>
      </c>
      <c r="C86" s="58" t="str">
        <v>Other measurable redundancy is small</v>
      </c>
      <c r="D86" s="58" t="str">
        <v>S</v>
      </c>
      <c r="E86" s="58"/>
      <c r="F86" s="58"/>
      <c r="G86" s="3"/>
    </row>
    <row r="87" ht="39" customHeight="1">
      <c r="A87" s="3"/>
      <c r="B87" s="59" t="str">
        <v>H7.8</v>
      </c>
      <c r="C87" s="59" t="str">
        <v>The largest single redundant file is one group's report repeated across 56 datasets</v>
      </c>
      <c r="D87" s="59" t="str">
        <v>S</v>
      </c>
      <c r="E87" s="59"/>
      <c r="F87" s="59"/>
      <c r="G87" s="3"/>
    </row>
    <row r="88" ht="54" customHeight="1">
      <c r="A88" s="3"/>
      <c r="B88" s="58" t="str">
        <v>H5.1</v>
      </c>
      <c r="C88" s="58" t="str">
        <v>Modification site tables are deposited mostly inside zips. Phosphorylation is by far the most common biological modification in them.</v>
      </c>
      <c r="D88" s="58" t="str">
        <v>V</v>
      </c>
      <c r="E88" s="58"/>
      <c r="F88" s="58"/>
      <c r="G88" s="3"/>
    </row>
    <row r="89" ht="27" customHeight="1">
      <c r="A89" s="3"/>
      <c r="B89" s="59" t="str">
        <v>H5.2</v>
      </c>
      <c r="C89" s="59" t="str">
        <v>Phospho site tables and phospho metadata agree mostly, but not fully</v>
      </c>
      <c r="D89" s="59" t="str">
        <v>V</v>
      </c>
      <c r="E89" s="59"/>
      <c r="F89" s="59"/>
      <c r="G89" s="3"/>
    </row>
    <row r="90" ht="39" customHeight="1">
      <c r="A90" s="3"/>
      <c r="B90" s="58" t="str">
        <v>H5.3</v>
      </c>
      <c r="C90" s="58" t="str">
        <v>For GlyGly and lysine acetylation, the structured PTM field and the text diverge from the site tables</v>
      </c>
      <c r="D90" s="58" t="str">
        <v>S</v>
      </c>
      <c r="E90" s="58"/>
      <c r="F90" s="58"/>
      <c r="G90" s="3"/>
    </row>
    <row r="91" ht="39" customHeight="1">
      <c r="A91" s="3"/>
      <c r="B91" s="59" t="str">
        <v>H5.4</v>
      </c>
      <c r="C91" s="59" t="str">
        <v>Isobaric-labelling evidence in files almost always has TMT/iTRAQ metadata. Unannotated TMT exists but is rare.</v>
      </c>
      <c r="D91" s="59" t="str">
        <v>V</v>
      </c>
      <c r="E91" s="59"/>
      <c r="F91" s="59"/>
      <c r="G91" s="3"/>
    </row>
    <row r="92" ht="54" customHeight="1">
      <c r="A92" s="3"/>
      <c r="B92" s="58" t="str">
        <v>H5.5</v>
      </c>
      <c r="C92" s="58" t="str">
        <v>Multiplexing size changed from iTRAQ/TMT6 to TMT10/11 and then TMTpro 16/18. Header channels agree with the plex stated in text in about 83% of datasets.</v>
      </c>
      <c r="D92" s="58" t="str">
        <v>V</v>
      </c>
      <c r="E92" s="58"/>
      <c r="F92" s="58"/>
      <c r="G92" s="3"/>
    </row>
    <row r="93" ht="39" customHeight="1">
      <c r="A93" s="3"/>
      <c r="B93" s="59" t="str">
        <v>H5.6</v>
      </c>
      <c r="C93" s="59" t="str">
        <v>The label-free flag misses many datasets with LFQ evidence. SILAC agreement is intermediate.</v>
      </c>
      <c r="D93" s="59" t="str">
        <v>V</v>
      </c>
      <c r="E93" s="59"/>
      <c r="F93" s="59"/>
      <c r="G93" s="3"/>
    </row>
    <row r="94" ht="27" customHeight="1">
      <c r="A94" s="3"/>
      <c r="B94" s="58" t="str">
        <v>H5.7</v>
      </c>
      <c r="C94" s="58" t="str">
        <v>Strategy mix over time (metadata, all datasets)</v>
      </c>
      <c r="D94" s="58" t="str">
        <v>S</v>
      </c>
      <c r="E94" s="58"/>
      <c r="F94" s="58"/>
      <c r="G94" s="3"/>
    </row>
    <row r="95" ht="27" customHeight="1">
      <c r="A95" s="3"/>
      <c r="B95" s="59" t="str">
        <v>H5.8</v>
      </c>
      <c r="C95" s="59" t="str">
        <v>Samples per quantitative matrix (read headers)</v>
      </c>
      <c r="D95" s="59" t="str">
        <v>S</v>
      </c>
      <c r="E95" s="59"/>
      <c r="F95" s="59"/>
      <c r="G95" s="3"/>
    </row>
    <row r="96" ht="39" customHeight="1">
      <c r="A96" s="3"/>
      <c r="B96" s="58" t="str">
        <v>H6.1</v>
      </c>
      <c r="C96" s="58" t="str">
        <v>For the main platforms, most datasets with a tool's output also name the tool. The share evidenced but not named is 7–24%.</v>
      </c>
      <c r="D96" s="58" t="str">
        <v>V</v>
      </c>
      <c r="E96" s="58"/>
      <c r="F96" s="58"/>
      <c r="G96" s="3"/>
    </row>
    <row r="97" ht="39" customHeight="1">
      <c r="A97" s="3"/>
      <c r="B97" s="59" t="str">
        <v>H6.2</v>
      </c>
      <c r="C97" s="59" t="str">
        <v>Named but not evidenced is large, and for some tools mostly explained by output of a host tool</v>
      </c>
      <c r="D97" s="59" t="str">
        <v>S</v>
      </c>
      <c r="E97" s="59"/>
      <c r="F97" s="59"/>
      <c r="G97" s="3"/>
    </row>
    <row r="98" ht="39" customHeight="1">
      <c r="A98" s="3"/>
      <c r="B98" s="58" t="str">
        <v>H6.3</v>
      </c>
      <c r="C98" s="58" t="str">
        <v>The structured software field is not independent of the protocol text, and is empty more often in recent years</v>
      </c>
      <c r="D98" s="58" t="str">
        <v>S</v>
      </c>
      <c r="E98" s="58"/>
      <c r="F98" s="58"/>
      <c r="G98" s="3"/>
    </row>
    <row r="99" ht="27" customHeight="1">
      <c r="A99" s="3"/>
      <c r="B99" s="59" t="str">
        <v>H6.4</v>
      </c>
      <c r="C99" s="59" t="str">
        <v>Datasets naming no tool often contain identifiable tool output</v>
      </c>
      <c r="D99" s="59" t="str">
        <v>S</v>
      </c>
      <c r="E99" s="59"/>
      <c r="F99" s="59"/>
      <c r="G99" s="3"/>
    </row>
    <row r="100" ht="27" customHeight="1">
      <c r="A100" s="3"/>
      <c r="B100" s="58" t="str">
        <v>H6.5</v>
      </c>
      <c r="C100" s="58" t="str">
        <v>Multi-tool evidence in one dataset is uncommon and not increasing</v>
      </c>
      <c r="D100" s="58" t="str">
        <v>S</v>
      </c>
      <c r="E100" s="58"/>
      <c r="F100" s="58"/>
      <c r="G100" s="3"/>
    </row>
    <row r="101" ht="27" customHeight="1">
      <c r="A101" s="3"/>
      <c r="B101" s="59" t="str">
        <v>H6.6</v>
      </c>
      <c r="C101" s="59" t="str">
        <v>Signature and text-pattern pitfalls (data quality)</v>
      </c>
      <c r="D101" s="59" t="str">
        <v>V</v>
      </c>
      <c r="E101" s="59"/>
      <c r="F101" s="59"/>
      <c r="G101" s="3"/>
    </row>
    <row r="102" ht="39" customHeight="1">
      <c r="A102" s="3"/>
      <c r="B102" s="58" t="str">
        <v>H8.1</v>
      </c>
      <c r="C102" s="58" t="str">
        <v>Free-text documentation length is stable or rising slowly; keyword counts are flat</v>
      </c>
      <c r="D102" s="58" t="str">
        <v>S</v>
      </c>
      <c r="E102" s="58"/>
      <c r="F102" s="58"/>
      <c r="G102" s="3"/>
    </row>
    <row r="103" ht="27" customHeight="1">
      <c r="A103" s="3"/>
      <c r="B103" s="59" t="str">
        <v>H8.2</v>
      </c>
      <c r="C103" s="59" t="str">
        <v>Repeated descriptions</v>
      </c>
      <c r="D103" s="59" t="str">
        <v>S</v>
      </c>
      <c r="E103" s="59"/>
      <c r="F103" s="59"/>
      <c r="G103" s="3"/>
    </row>
    <row r="104" ht="39" customHeight="1">
      <c r="A104" s="3"/>
      <c r="B104" s="58" t="str">
        <v>H8.3</v>
      </c>
      <c r="C104" s="58" t="str">
        <v>Files that describe samples or design are rare. SDRF and author-written design tables are rising; README is flat.</v>
      </c>
      <c r="D104" s="58" t="str">
        <v>V</v>
      </c>
      <c r="E104" s="58"/>
      <c r="F104" s="58"/>
      <c r="G104" s="3"/>
    </row>
    <row r="105" ht="39" customHeight="1">
      <c r="A105" s="3"/>
      <c r="B105" s="59" t="str">
        <v>H8.4</v>
      </c>
      <c r="C105" s="59" t="str">
        <v>Documentation files track results form, in both directions (2019–2025, year-standardised)</v>
      </c>
      <c r="D105" s="59" t="str">
        <v>S</v>
      </c>
      <c r="E105" s="59"/>
      <c r="F105" s="59"/>
      <c r="G105" s="3"/>
    </row>
    <row r="106" ht="27" customHeight="1">
      <c r="A106" s="3"/>
      <c r="B106" s="58" t="str">
        <v>H8.5</v>
      </c>
      <c r="C106" s="58" t="str">
        <v>Documentation habits persist within contributor groups</v>
      </c>
      <c r="D106" s="58" t="str">
        <v>S</v>
      </c>
      <c r="E106" s="58"/>
      <c r="F106" s="58"/>
      <c r="G106" s="3"/>
    </row>
    <row r="107" ht="39" customHeight="1">
      <c r="A107" s="3"/>
      <c r="B107" s="59" t="str">
        <v>H8.6</v>
      </c>
      <c r="C107" s="59" t="str">
        <v>Returning groups document slightly more than first-year groups in every period</v>
      </c>
      <c r="D107" s="59" t="str">
        <v>S</v>
      </c>
      <c r="E107" s="59"/>
      <c r="F107" s="59"/>
      <c r="G107" s="3"/>
    </row>
    <row r="108" ht="39" customHeight="1">
      <c r="A108" s="3"/>
      <c r="B108" s="58" t="str">
        <v>H9.1</v>
      </c>
      <c r="C108" s="58" t="str">
        <v>Native software versions are recoverable from deposited files for about 10.5k datasets</v>
      </c>
      <c r="D108" s="58" t="str">
        <v>V</v>
      </c>
      <c r="E108" s="58"/>
      <c r="F108" s="58"/>
      <c r="G108" s="3"/>
    </row>
    <row r="109" ht="69" customHeight="1">
      <c r="A109" s="3"/>
      <c r="B109" s="59" t="str">
        <v>H9.2</v>
      </c>
      <c r="C109" s="59" t="str">
        <v>Older MaxQuant releases remain common in recent deposits</v>
      </c>
      <c r="D109" s="59" t="str">
        <v>S</v>
      </c>
      <c r="E109" s="59" t="str">
        <v>W</v>
      </c>
      <c r="F109" s="59" t="str">
        <v>MaxQuant 1.6.x is still used in about half of 2025 MaxQuant datasets with a recoverable version. Old releases go mostly with older data (27% for data under 1 year old vs 82% for data over 3 years). The "rising lag" depends on how the version anchor is chosen; do not claim a trend.</v>
      </c>
      <c r="G109" s="3"/>
    </row>
    <row r="110" ht="39" customHeight="1">
      <c r="A110" s="3"/>
      <c r="B110" s="58" t="str">
        <v>H9.3</v>
      </c>
      <c r="C110" s="58" t="str">
        <v>DIA-NN deposits concentrate on 1.8.x</v>
      </c>
      <c r="D110" s="58" t="str">
        <v>S</v>
      </c>
      <c r="E110" s="58" t="str">
        <v>W</v>
      </c>
      <c r="F110" s="58" t="str">
        <v>61% (48–74%) of DIA-NN datasets submitted in 2025 used 1.8.x. Logs are recoverable for only about 31% of 2025 DIA-NN datasets.</v>
      </c>
      <c r="G110" s="3"/>
    </row>
    <row r="111" ht="27" customHeight="1">
      <c r="A111" s="3"/>
      <c r="B111" s="59" t="str">
        <v>H9.4</v>
      </c>
      <c r="C111" s="59" t="str">
        <v>Median version age at deposit, by tool (all years)</v>
      </c>
      <c r="D111" s="59" t="str">
        <v>S</v>
      </c>
      <c r="E111" s="59"/>
      <c r="F111" s="59"/>
      <c r="G111" s="3"/>
    </row>
    <row r="112" ht="39" customHeight="1">
      <c r="A112" s="3"/>
      <c r="B112" s="58" t="str">
        <v>H9.5</v>
      </c>
      <c r="C112" s="58" t="str">
        <v>Software that wrote the deposited standard files (mzIdentML/mzTab), by datasets</v>
      </c>
      <c r="D112" s="58" t="str">
        <v>S</v>
      </c>
      <c r="E112" s="58"/>
      <c r="F112" s="58"/>
      <c r="G112" s="3"/>
    </row>
    <row r="113" ht="39" customHeight="1">
      <c r="A113" s="3"/>
      <c r="B113" s="59" t="str">
        <v>H10.1</v>
      </c>
      <c r="C113" s="59" t="str">
        <v>Zipped tables in "ad hoc only" datasets are mostly identifiable tool output</v>
      </c>
      <c r="D113" s="59" t="str">
        <v>S</v>
      </c>
      <c r="E113" s="59"/>
      <c r="F113" s="59"/>
      <c r="G113" s="3"/>
    </row>
    <row r="114" ht="27" customHeight="1">
      <c r="A114" s="3"/>
      <c r="B114" s="76" t="str">
        <v>H10.2</v>
      </c>
      <c r="C114" s="76" t="str">
        <v>Results form after adding zipped headers, 2025 (n=6,231)</v>
      </c>
      <c r="D114" s="76" t="str">
        <v>V</v>
      </c>
      <c r="E114" s="76"/>
      <c r="F114" s="76"/>
      <c r="G114" s="3"/>
    </row>
    <row r="115" ht="23" customHeight="1">
      <c r="A115" s="3"/>
      <c r="B115" s="3"/>
      <c r="C115" s="3"/>
      <c r="D115" s="3"/>
      <c r="E115" s="3"/>
      <c r="F115" s="3"/>
      <c r="G115" s="3"/>
    </row>
    <row r="116" ht="23" customHeight="1">
      <c r="A116" s="3"/>
      <c r="B116" s="3"/>
      <c r="C116" s="3"/>
      <c r="D116" s="3"/>
      <c r="E116" s="3"/>
      <c r="F116" s="3"/>
      <c r="G116" s="3"/>
    </row>
    <row r="117" ht="23" customHeight="1">
      <c r="A117" s="3"/>
      <c r="B117" s="53" t="str">
        <v>Table scope</v>
      </c>
      <c r="C117" s="5"/>
      <c r="D117" s="5"/>
      <c r="E117" s="5"/>
      <c r="F117" s="5"/>
      <c r="G117" s="3"/>
    </row>
    <row r="118" ht="27" customHeight="1">
      <c r="A118" s="3"/>
      <c r="B118" s="12" t="str">
        <v>Findings ledger: every result with its robustness status</v>
      </c>
      <c r="C118" s="12"/>
      <c r="D118" s="12"/>
      <c r="E118" s="12"/>
      <c r="F118" s="12"/>
      <c r="G118" s="3"/>
    </row>
    <row r="119" ht="23" customHeight="1">
      <c r="A119" s="3"/>
      <c r="B119" s="3"/>
      <c r="C119" s="3"/>
      <c r="D119" s="3"/>
      <c r="E119" s="3"/>
      <c r="F119" s="3"/>
      <c r="G119" s="3"/>
    </row>
    <row r="120" ht="23" customHeight="1">
      <c r="A120" s="3"/>
      <c r="B120" s="53" t="str">
        <v>Definition</v>
      </c>
      <c r="C120" s="5"/>
      <c r="D120" s="5"/>
      <c r="E120" s="5"/>
      <c r="F120" s="5"/>
      <c r="G120" s="3"/>
    </row>
    <row r="121" ht="42" customHeight="1">
      <c r="A121" s="3"/>
      <c r="B121" s="12" t="str">
        <v>Historical review ledger: V verified in the original review; W weakened; S single analysis; X dropped. These labels are not independent validation. Corrected wording includes later reporting qualifications and supersedes historical claims. The 107 rows are not 107 freshly rerun tests. Source: Findings-ledger.md.</v>
      </c>
      <c r="C121" s="12"/>
      <c r="D121" s="12"/>
      <c r="E121" s="12"/>
      <c r="F121" s="12"/>
      <c r="G121" s="3"/>
    </row>
    <row r="122" ht="23" customHeight="1">
      <c r="A122" s="3"/>
      <c r="B122" s="3"/>
      <c r="C122" s="3"/>
      <c r="D122" s="3"/>
      <c r="E122" s="3"/>
      <c r="F122" s="3"/>
      <c r="G122" s="3"/>
    </row>
    <row r="123" ht="23" customHeight="1">
      <c r="A123" s="3"/>
      <c r="B123" s="53" t="str">
        <v>Source</v>
      </c>
      <c r="C123" s="5"/>
      <c r="D123" s="5"/>
      <c r="E123" s="5"/>
      <c r="F123" s="5"/>
      <c r="G123" s="3"/>
    </row>
    <row r="124" ht="27" customHeight="1">
      <c r="A124" s="3"/>
      <c r="B124" s="12" t="str">
        <v>Findings-ledger.md</v>
      </c>
      <c r="C124" s="12"/>
      <c r="D124" s="12"/>
      <c r="E124" s="12"/>
      <c r="F124" s="12"/>
      <c r="G124" s="3"/>
    </row>
    <row r="125" ht="23" customHeight="1">
      <c r="A125" s="3"/>
      <c r="B125" s="3"/>
      <c r="C125" s="3"/>
      <c r="D125" s="3"/>
      <c r="E125" s="3"/>
      <c r="F125" s="3"/>
      <c r="G125" s="3"/>
    </row>
    <row r="126" ht="23" customHeight="1">
      <c r="A126" s="3"/>
      <c r="B126" s="53" t="str">
        <v>Original column names</v>
      </c>
      <c r="C126" s="5"/>
      <c r="D126" s="5"/>
      <c r="E126" s="5"/>
      <c r="F126" s="5"/>
      <c r="G126" s="3"/>
    </row>
    <row r="127" ht="27" customHeight="1">
      <c r="A127" s="3"/>
      <c r="B127" s="12" t="str">
        <v>id, finding, status, attack_verdict, corrected_wording</v>
      </c>
      <c r="C127" s="12"/>
      <c r="D127" s="12"/>
      <c r="E127" s="12"/>
      <c r="F127" s="12"/>
      <c r="G127" s="3"/>
    </row>
    <row r="128" ht="23" customHeight="1">
      <c r="A128" s="3"/>
      <c r="B128" s="3"/>
      <c r="C128" s="3"/>
      <c r="D128" s="3"/>
      <c r="E128" s="3"/>
      <c r="F128" s="3"/>
      <c r="G128" s="3"/>
    </row>
    <row r="129" ht="23" customHeight="1">
      <c r="A129" s="3"/>
      <c r="B129" s="3"/>
      <c r="C129" s="3"/>
      <c r="D129" s="3"/>
      <c r="E129" s="3"/>
      <c r="F129" s="3"/>
      <c r="G129" s="3"/>
    </row>
    <row r="130" ht="23" customHeight="1">
      <c r="A130" s="3"/>
      <c r="B130" s="3"/>
      <c r="C130" s="3"/>
      <c r="D130" s="3"/>
      <c r="E130" s="3"/>
      <c r="F130" s="3"/>
      <c r="G130" s="3"/>
    </row>
    <row r="131" ht="23" customHeight="1">
      <c r="A131" s="3"/>
      <c r="B131" s="3"/>
      <c r="C131" s="3"/>
      <c r="D131" s="3"/>
      <c r="E131" s="3"/>
      <c r="F131" s="3"/>
      <c r="G131" s="3"/>
    </row>
    <row r="132" ht="23" customHeight="1">
      <c r="A132" s="3"/>
      <c r="B132" s="3"/>
      <c r="C132" s="3"/>
      <c r="D132" s="3"/>
      <c r="E132" s="3"/>
      <c r="F132" s="3"/>
      <c r="G132" s="3"/>
    </row>
    <row r="133" ht="23" customHeight="1">
      <c r="A133" s="3"/>
      <c r="B133" s="3"/>
      <c r="C133" s="3"/>
      <c r="D133" s="3"/>
      <c r="E133" s="3"/>
      <c r="F133" s="3"/>
      <c r="G133" s="3"/>
    </row>
    <row r="134" ht="23" customHeight="1">
      <c r="A134" s="3"/>
      <c r="B134" s="3"/>
      <c r="C134" s="3"/>
      <c r="D134" s="3"/>
      <c r="E134" s="3"/>
      <c r="F134" s="3"/>
      <c r="G134" s="3"/>
    </row>
    <row r="135" ht="23" customHeight="1">
      <c r="A135" s="3"/>
      <c r="B135" s="3"/>
      <c r="C135" s="3"/>
      <c r="D135" s="3"/>
      <c r="E135" s="3"/>
      <c r="F135" s="3"/>
      <c r="G135" s="3"/>
    </row>
    <row r="136" ht="23" customHeight="1">
      <c r="A136" s="3"/>
      <c r="B136" s="3"/>
      <c r="C136" s="3"/>
      <c r="D136" s="3"/>
      <c r="E136" s="3"/>
      <c r="F136" s="3"/>
      <c r="G136" s="3"/>
    </row>
    <row r="137" ht="23" customHeight="1">
      <c r="A137" s="3"/>
      <c r="B137" s="3"/>
      <c r="C137" s="3"/>
      <c r="D137" s="3"/>
      <c r="E137" s="3"/>
      <c r="F137" s="3"/>
      <c r="G137" s="3"/>
    </row>
    <row r="138" ht="23" customHeight="1">
      <c r="A138" s="3"/>
      <c r="B138" s="3"/>
      <c r="C138" s="3"/>
      <c r="D138" s="3"/>
      <c r="E138" s="3"/>
      <c r="F138" s="3"/>
      <c r="G138" s="3"/>
    </row>
    <row r="139" ht="23" customHeight="1">
      <c r="A139" s="3"/>
      <c r="B139" s="3"/>
      <c r="C139" s="3"/>
      <c r="D139" s="3"/>
      <c r="E139" s="3"/>
      <c r="F139" s="3"/>
      <c r="G139" s="3"/>
    </row>
  </sheetData>
  <mergeCells>
    <mergeCell ref="B2:F2"/>
    <mergeCell ref="B3:F3"/>
    <mergeCell ref="B4:F4"/>
    <mergeCell ref="B117:F117"/>
    <mergeCell ref="B118:F118"/>
    <mergeCell ref="B120:F120"/>
    <mergeCell ref="B121:F121"/>
    <mergeCell ref="B123:F123"/>
    <mergeCell ref="B124:F124"/>
    <mergeCell ref="B126:F126"/>
    <mergeCell ref="B127:F127"/>
  </mergeCells>
  <conditionalFormatting sqref="D8:D114">
    <cfRule type="cellIs" dxfId="0" priority="1" operator="equal">
      <formula>"X"</formula>
    </cfRule>
    <cfRule type="cellIs" dxfId="1" priority="2" operator="equal">
      <formula>"W"</formula>
    </cfRule>
    <cfRule type="cellIs" dxfId="2" priority="3" operator="equal">
      <formula>"S"</formula>
    </cfRule>
  </conditionalFormatting>
  <hyperlinks>
    <hyperlink ref="B6" location="'Contents'!B2"/>
  </hyperlinks>
  <printOptions headings="0" gridLines="0" horizontalCentered="0"/>
  <pageMargins left="0.3" right="0.3" top="0.4" bottom="0.4" header="0.15" footer="0.2"/>
  <pageSetup paperSize="8" orientation="landscape" scale="90" useFirstPageNumber="0"/>
  <headerFooter>
    <oddFooter>&amp;LPRIDE supplementary tables&amp;CS21&amp;RPage &amp;P of &amp;N</oddFooter>
  </headerFooter>
  <tableParts count="1">
    <tablePart ns1:id="R632cee017eb349f8"/>
  </tableParts>
</worksheet>
</file>

<file path=xl/worksheets/sheet23.xml><?xml version="1.0" encoding="utf-8"?>
<worksheet xmlns="http://schemas.openxmlformats.org/spreadsheetml/2006/main" xmlns:ns1="http://schemas.openxmlformats.org/officeDocument/2006/relationships">
  <sheetPr>
    <tabColor rgb="FF2E6F9E"/>
    <pageSetUpPr fitToPage="1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43" hidden="0" customWidth="1"/>
    <col min="3" max="3" width="49" hidden="0" customWidth="1"/>
    <col min="4" max="4" width="32" hidden="0" customWidth="1"/>
    <col min="5" max="5" width="16" hidden="0" customWidth="1"/>
    <col min="6" max="6" width="16" hidden="0" customWidth="1"/>
    <col min="7" max="7" width="16" hidden="0" customWidth="1"/>
    <col min="8" max="8" width="25" hidden="0" customWidth="1"/>
    <col min="9" max="9" width="25" hidden="0" customWidth="1"/>
    <col min="10" max="10" width="66" hidden="0" customWidth="1"/>
    <col min="11" max="11" width="56" hidden="0" customWidth="1"/>
  </cols>
  <sheetData>
    <row r="1" ht="25" customHeight="1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</row>
    <row r="2" ht="25" customHeight="1">
      <c r="A2" s="121"/>
      <c r="B2" s="123" t="str">
        <v>SUPPLEMENTARY TABLE S22</v>
      </c>
      <c r="C2" s="123"/>
      <c r="D2" s="123"/>
      <c r="E2" s="121"/>
      <c r="F2" s="121"/>
      <c r="G2" s="121"/>
      <c r="H2" s="121"/>
      <c r="I2" s="121"/>
      <c r="J2" s="121"/>
      <c r="K2" s="121"/>
      <c r="L2" s="121"/>
    </row>
    <row r="3" ht="32" customHeight="1">
      <c r="A3" s="121"/>
      <c r="B3" s="125" t="str">
        <v>Supporting numerical comparisons</v>
      </c>
      <c r="C3" s="125"/>
      <c r="D3" s="125"/>
      <c r="E3" s="121"/>
      <c r="F3" s="121"/>
      <c r="G3" s="121"/>
      <c r="H3" s="121"/>
      <c r="I3" s="121"/>
      <c r="J3" s="121"/>
      <c r="K3" s="121"/>
      <c r="L3" s="121"/>
    </row>
    <row r="4" ht="34" customHeight="1">
      <c r="A4" s="121"/>
      <c r="B4" s="127" t="str">
        <v>Supporting comparisons at manuscript reporting precision. Population, period and units accompany every estimate.</v>
      </c>
      <c r="C4" s="127"/>
      <c r="D4" s="127"/>
      <c r="E4" s="121"/>
      <c r="F4" s="121"/>
      <c r="G4" s="121"/>
      <c r="H4" s="121"/>
      <c r="I4" s="121"/>
      <c r="J4" s="121"/>
      <c r="K4" s="121"/>
      <c r="L4" s="121"/>
    </row>
    <row r="5" ht="25" customHeight="1">
      <c r="A5" s="121"/>
      <c r="B5" s="128"/>
      <c r="C5" s="128"/>
      <c r="D5" s="128"/>
      <c r="E5" s="121"/>
      <c r="F5" s="121"/>
      <c r="G5" s="121"/>
      <c r="H5" s="121"/>
      <c r="I5" s="121"/>
      <c r="J5" s="121"/>
      <c r="K5" s="121"/>
      <c r="L5" s="121"/>
    </row>
    <row r="6" ht="25" customHeight="1">
      <c r="A6" s="121"/>
      <c r="B6" s="122" t="str">
        <v>Contents</v>
      </c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ht="40" customHeight="1">
      <c r="A7" s="121"/>
      <c r="B7" s="132" t="str">
        <v>Comparison</v>
      </c>
      <c r="C7" s="132" t="str">
        <v>Population</v>
      </c>
      <c r="D7" s="132" t="str">
        <v>Period or comparison</v>
      </c>
      <c r="E7" s="132" t="str">
        <v>Estimate</v>
      </c>
      <c r="F7" s="132" t="str">
        <v>Lower bound</v>
      </c>
      <c r="G7" s="132" t="str">
        <v>Upper bound</v>
      </c>
      <c r="H7" s="132" t="str">
        <v>Meaning of bounds</v>
      </c>
      <c r="I7" s="132" t="str">
        <v>Unit</v>
      </c>
      <c r="J7" s="132" t="str">
        <v>Definition or qualification</v>
      </c>
      <c r="K7" s="132" t="str">
        <v>Source</v>
      </c>
      <c r="L7" s="121"/>
    </row>
    <row r="8" ht="43" customHeight="1">
      <c r="A8" s="121"/>
      <c r="B8" s="134" t="str">
        <v>Distinct journals</v>
      </c>
      <c r="C8" s="134" t="str">
        <v>Linked papers with known journal</v>
      </c>
      <c r="D8" s="134" t="str">
        <v>2013</v>
      </c>
      <c r="E8" s="138" t="n">
        <v>78</v>
      </c>
      <c r="F8" s="142"/>
      <c r="G8" s="142"/>
      <c r="H8" s="143" t="str"/>
      <c r="I8" s="134" t="str">
        <v>journals</v>
      </c>
      <c r="J8" s="134" t="str"/>
      <c r="K8" s="134" t="str">
        <v>Table S18</v>
      </c>
      <c r="L8" s="121"/>
    </row>
    <row r="9" ht="43" customHeight="1">
      <c r="A9" s="121"/>
      <c r="B9" s="135" t="str">
        <v>Distinct journals</v>
      </c>
      <c r="C9" s="135" t="str">
        <v>Linked papers with known journal</v>
      </c>
      <c r="D9" s="135" t="str">
        <v>2025</v>
      </c>
      <c r="E9" s="139" t="n">
        <v>627</v>
      </c>
      <c r="F9" s="144"/>
      <c r="G9" s="144"/>
      <c r="H9" s="145" t="str"/>
      <c r="I9" s="135" t="str">
        <v>journals</v>
      </c>
      <c r="J9" s="135" t="str"/>
      <c r="K9" s="135" t="str">
        <v>Table S18</v>
      </c>
      <c r="L9" s="121"/>
    </row>
    <row r="10" ht="43" customHeight="1">
      <c r="A10" s="121"/>
      <c r="B10" s="134" t="str">
        <v>Rarefied instrument richness</v>
      </c>
      <c r="C10" s="134" t="str">
        <v>Equal-sized samples of 1,500 datasets</v>
      </c>
      <c r="D10" s="134" t="str">
        <v>2013–2015</v>
      </c>
      <c r="E10" s="138" t="n">
        <v>66</v>
      </c>
      <c r="F10" s="142"/>
      <c r="G10" s="142"/>
      <c r="H10" s="143" t="str"/>
      <c r="I10" s="134" t="str">
        <v>models</v>
      </c>
      <c r="J10" s="134" t="str">
        <v>Richness did not increase despite more even model representation.</v>
      </c>
      <c r="K10" s="134" t="str">
        <v>Table S3; Fig. 1b</v>
      </c>
      <c r="L10" s="121"/>
    </row>
    <row r="11" ht="43" customHeight="1">
      <c r="A11" s="121"/>
      <c r="B11" s="135" t="str">
        <v>Rarefied instrument richness</v>
      </c>
      <c r="C11" s="135" t="str">
        <v>Equal-sized samples of 1,500 datasets</v>
      </c>
      <c r="D11" s="135" t="str">
        <v>2023–2025</v>
      </c>
      <c r="E11" s="139" t="n">
        <v>62</v>
      </c>
      <c r="F11" s="144"/>
      <c r="G11" s="144"/>
      <c r="H11" s="145" t="str"/>
      <c r="I11" s="135" t="str">
        <v>models</v>
      </c>
      <c r="J11" s="135" t="str">
        <v>Richness did not increase despite more even model representation.</v>
      </c>
      <c r="K11" s="135" t="str">
        <v>Table S3; Fig. 1b</v>
      </c>
      <c r="L11" s="121"/>
    </row>
    <row r="12" ht="57" customHeight="1">
      <c r="A12" s="121"/>
      <c r="B12" s="134" t="str">
        <v>Diversity comparisons</v>
      </c>
      <c r="C12" s="134" t="str">
        <v>Contributor groups, journals, instrument models and species</v>
      </c>
      <c r="D12" s="134" t="str">
        <v>2023–2025 versus 2013–2015</v>
      </c>
      <c r="E12" s="136"/>
      <c r="F12" s="142"/>
      <c r="G12" s="142"/>
      <c r="H12" s="143" t="str"/>
      <c r="I12" s="134" t="str"/>
      <c r="J12" s="134" t="str">
        <v>Direction agreed at orders 1 and 2. At order 2, tools, research subfields, countries and instrument vendors showed no detectable change.</v>
      </c>
      <c r="K12" s="134" t="str">
        <v>Table S3</v>
      </c>
      <c r="L12" s="121"/>
    </row>
    <row r="13" ht="43" customHeight="1">
      <c r="A13" s="121"/>
      <c r="B13" s="135" t="str">
        <v>Timing of effective-number increases</v>
      </c>
      <c r="C13" s="135" t="str">
        <v>Instrument models, journals and tools</v>
      </c>
      <c r="D13" s="135" t="str">
        <v>2013–2025</v>
      </c>
      <c r="E13" s="137"/>
      <c r="F13" s="144"/>
      <c r="G13" s="144"/>
      <c r="H13" s="145" t="str"/>
      <c r="I13" s="135" t="str"/>
      <c r="J13" s="135" t="str">
        <v>Instrument models mainly from 2020; journals until 2022; tools only in 2024 and 2025.</v>
      </c>
      <c r="K13" s="135" t="str">
        <v>Table S2; Fig. 1a</v>
      </c>
      <c r="L13" s="121"/>
    </row>
    <row r="14" ht="43" customHeight="1">
      <c r="A14" s="121"/>
      <c r="B14" s="134" t="str">
        <v>Human samples named</v>
      </c>
      <c r="C14" s="134" t="str">
        <v>All released datasets</v>
      </c>
      <c r="D14" s="134" t="str">
        <v>2013</v>
      </c>
      <c r="E14" s="138" t="n">
        <v>41</v>
      </c>
      <c r="F14" s="142"/>
      <c r="G14" s="142"/>
      <c r="H14" s="143" t="str"/>
      <c r="I14" s="134" t="str">
        <v>% of datasets</v>
      </c>
      <c r="J14" s="134" t="str"/>
      <c r="K14" s="134" t="str">
        <v>Supplementary Fig. 9; Gallery/data/29-species.csv</v>
      </c>
      <c r="L14" s="121"/>
    </row>
    <row r="15" ht="43" customHeight="1">
      <c r="A15" s="121"/>
      <c r="B15" s="135" t="str">
        <v>Human samples named</v>
      </c>
      <c r="C15" s="135" t="str">
        <v>All released datasets</v>
      </c>
      <c r="D15" s="135" t="str">
        <v>2025</v>
      </c>
      <c r="E15" s="139" t="n">
        <v>52</v>
      </c>
      <c r="F15" s="144"/>
      <c r="G15" s="144"/>
      <c r="H15" s="145" t="str"/>
      <c r="I15" s="135" t="str">
        <v>% of datasets</v>
      </c>
      <c r="J15" s="135" t="str"/>
      <c r="K15" s="135" t="str">
        <v>Supplementary Fig. 9; Gallery/data/29-species.csv</v>
      </c>
      <c r="L15" s="121"/>
    </row>
    <row r="16" ht="43" customHeight="1">
      <c r="A16" s="121"/>
      <c r="B16" s="134" t="str">
        <v>Mouse samples named</v>
      </c>
      <c r="C16" s="134" t="str">
        <v>All released datasets</v>
      </c>
      <c r="D16" s="134" t="str">
        <v>2013</v>
      </c>
      <c r="E16" s="138" t="n">
        <v>11</v>
      </c>
      <c r="F16" s="142"/>
      <c r="G16" s="142"/>
      <c r="H16" s="143" t="str"/>
      <c r="I16" s="134" t="str">
        <v>% of datasets</v>
      </c>
      <c r="J16" s="134" t="str"/>
      <c r="K16" s="134" t="str">
        <v>Supplementary Fig. 9; Gallery/data/29-species.csv</v>
      </c>
      <c r="L16" s="121"/>
    </row>
    <row r="17" ht="43" customHeight="1">
      <c r="A17" s="121"/>
      <c r="B17" s="135" t="str">
        <v>Mouse samples named</v>
      </c>
      <c r="C17" s="135" t="str">
        <v>All released datasets</v>
      </c>
      <c r="D17" s="135" t="str">
        <v>2025</v>
      </c>
      <c r="E17" s="139" t="n">
        <v>19</v>
      </c>
      <c r="F17" s="144"/>
      <c r="G17" s="144"/>
      <c r="H17" s="145" t="str"/>
      <c r="I17" s="135" t="str">
        <v>% of datasets</v>
      </c>
      <c r="J17" s="135" t="str"/>
      <c r="K17" s="135" t="str">
        <v>Supplementary Fig. 9; Gallery/data/29-species.csv</v>
      </c>
      <c r="L17" s="121"/>
    </row>
    <row r="18" ht="43" customHeight="1">
      <c r="A18" s="121"/>
      <c r="B18" s="134" t="str">
        <v>Neither human nor mouse named</v>
      </c>
      <c r="C18" s="134" t="str">
        <v>354 contributor groups present in both periods</v>
      </c>
      <c r="D18" s="134" t="str">
        <v>2013–2016</v>
      </c>
      <c r="E18" s="138" t="n">
        <v>40</v>
      </c>
      <c r="F18" s="142"/>
      <c r="G18" s="142"/>
      <c r="H18" s="143" t="str"/>
      <c r="I18" s="134" t="str">
        <v>% of datasets</v>
      </c>
      <c r="J18" s="134" t="str"/>
      <c r="K18" s="134" t="str">
        <v>Findings-ledger.md; Supplementary Fig. 9</v>
      </c>
      <c r="L18" s="121"/>
    </row>
    <row r="19" ht="43" customHeight="1">
      <c r="A19" s="121"/>
      <c r="B19" s="135" t="str">
        <v>Neither human nor mouse named</v>
      </c>
      <c r="C19" s="135" t="str">
        <v>354 contributor groups present in both periods</v>
      </c>
      <c r="D19" s="135" t="str">
        <v>2023–2025</v>
      </c>
      <c r="E19" s="139" t="n">
        <v>32</v>
      </c>
      <c r="F19" s="144"/>
      <c r="G19" s="144"/>
      <c r="H19" s="145" t="str"/>
      <c r="I19" s="135" t="str">
        <v>% of datasets</v>
      </c>
      <c r="J19" s="135" t="str"/>
      <c r="K19" s="135" t="str">
        <v>Findings-ledger.md; Supplementary Fig. 9</v>
      </c>
      <c r="L19" s="121"/>
    </row>
    <row r="20" ht="43" customHeight="1">
      <c r="A20" s="121"/>
      <c r="B20" s="134" t="str">
        <v>First-time contributor share</v>
      </c>
      <c r="C20" s="134" t="str">
        <v>Groups with no earlier PRIDE release since 2013</v>
      </c>
      <c r="D20" s="134" t="str">
        <v>2025</v>
      </c>
      <c r="E20" s="138" t="n">
        <v>44</v>
      </c>
      <c r="F20" s="142"/>
      <c r="G20" s="142"/>
      <c r="H20" s="143" t="str"/>
      <c r="I20" s="134" t="str">
        <v>% of datasets</v>
      </c>
      <c r="J20" s="134" t="str"/>
      <c r="K20" s="134" t="str">
        <v>Table S1; Fig. 1c,d</v>
      </c>
      <c r="L20" s="121"/>
    </row>
    <row r="21" ht="43" customHeight="1">
      <c r="A21" s="121"/>
      <c r="B21" s="135" t="str">
        <v>Growth in country-resolved deposits</v>
      </c>
      <c r="C21" s="135" t="str">
        <v>Datasets from groups with resolved country</v>
      </c>
      <c r="D21" s="135" t="str">
        <v>2023–2025 versus 2016–2018</v>
      </c>
      <c r="E21" s="140" t="n">
        <v>3.3</v>
      </c>
      <c r="F21" s="144"/>
      <c r="G21" s="144"/>
      <c r="H21" s="145" t="str"/>
      <c r="I21" s="135" t="str">
        <v>fold</v>
      </c>
      <c r="J21" s="135" t="str"/>
      <c r="K21" s="135" t="str">
        <v>Table S6; Fig. 1e–g</v>
      </c>
      <c r="L21" s="121"/>
    </row>
    <row r="22" ht="43" customHeight="1">
      <c r="A22" s="121"/>
      <c r="B22" s="134" t="str">
        <v>Growth in deposits from China</v>
      </c>
      <c r="C22" s="134" t="str">
        <v>Datasets from groups assigned to China</v>
      </c>
      <c r="D22" s="134" t="str">
        <v>2023–2025 versus 2016–2018</v>
      </c>
      <c r="E22" s="141" t="n">
        <v>5.2</v>
      </c>
      <c r="F22" s="142"/>
      <c r="G22" s="142"/>
      <c r="H22" s="143" t="str"/>
      <c r="I22" s="134" t="str">
        <v>fold</v>
      </c>
      <c r="J22" s="134" t="str">
        <v>See S6 for the bootstrap bounds at source precision.</v>
      </c>
      <c r="K22" s="134" t="str">
        <v>Table S6; Fig. 1e–g</v>
      </c>
      <c r="L22" s="121"/>
    </row>
    <row r="23" ht="43" customHeight="1">
      <c r="A23" s="121"/>
      <c r="B23" s="135" t="str">
        <v>Growth in deposits from Germany</v>
      </c>
      <c r="C23" s="135" t="str">
        <v>Datasets from groups assigned to Germany</v>
      </c>
      <c r="D23" s="135" t="str">
        <v>2023–2025 versus 2016–2018</v>
      </c>
      <c r="E23" s="140" t="n">
        <v>2.8</v>
      </c>
      <c r="F23" s="144"/>
      <c r="G23" s="144"/>
      <c r="H23" s="145" t="str"/>
      <c r="I23" s="135" t="str">
        <v>fold</v>
      </c>
      <c r="J23" s="135" t="str">
        <v>See S6 for the bootstrap bounds at source precision.</v>
      </c>
      <c r="K23" s="135" t="str">
        <v>Table S6; Fig. 1e–g</v>
      </c>
      <c r="L23" s="121"/>
    </row>
    <row r="24" ht="43" customHeight="1">
      <c r="A24" s="121"/>
      <c r="B24" s="134" t="str">
        <v>China share of deposits</v>
      </c>
      <c r="C24" s="134" t="str">
        <v>Country-resolved datasets</v>
      </c>
      <c r="D24" s="134" t="str">
        <v>2013</v>
      </c>
      <c r="E24" s="138" t="n">
        <v>3</v>
      </c>
      <c r="F24" s="142"/>
      <c r="G24" s="142"/>
      <c r="H24" s="143" t="str"/>
      <c r="I24" s="134" t="str">
        <v>% of datasets</v>
      </c>
      <c r="J24" s="134" t="str"/>
      <c r="K24" s="134" t="str">
        <v>Fig. 1e–g; Table S6</v>
      </c>
      <c r="L24" s="121"/>
    </row>
    <row r="25" ht="43" customHeight="1">
      <c r="A25" s="121"/>
      <c r="B25" s="135" t="str">
        <v>China share of deposits</v>
      </c>
      <c r="C25" s="135" t="str">
        <v>Country-resolved datasets</v>
      </c>
      <c r="D25" s="135" t="str">
        <v>2025</v>
      </c>
      <c r="E25" s="139" t="n">
        <v>15</v>
      </c>
      <c r="F25" s="144"/>
      <c r="G25" s="144"/>
      <c r="H25" s="145" t="str"/>
      <c r="I25" s="135" t="str">
        <v>% of datasets</v>
      </c>
      <c r="J25" s="135" t="str"/>
      <c r="K25" s="135" t="str">
        <v>Fig. 1e–g; Table S6</v>
      </c>
      <c r="L25" s="121"/>
    </row>
    <row r="26" ht="43" customHeight="1">
      <c r="A26" s="121"/>
      <c r="B26" s="134" t="str">
        <v>Eligible raw-run datasets</v>
      </c>
      <c r="C26" s="134" t="str">
        <v>Datasets with run counts</v>
      </c>
      <c r="D26" s="134" t="str">
        <v>2013–2016</v>
      </c>
      <c r="E26" s="138" t="n">
        <v>2498</v>
      </c>
      <c r="F26" s="142"/>
      <c r="G26" s="142"/>
      <c r="H26" s="143" t="str"/>
      <c r="I26" s="134" t="str">
        <v>datasets</v>
      </c>
      <c r="J26" s="134" t="str"/>
      <c r="K26" s="134" t="str">
        <v>Table S8; Fig. 2a</v>
      </c>
      <c r="L26" s="121"/>
    </row>
    <row r="27" ht="43" customHeight="1">
      <c r="A27" s="121"/>
      <c r="B27" s="135" t="str">
        <v>Eligible raw-run datasets</v>
      </c>
      <c r="C27" s="135" t="str">
        <v>Datasets with run counts</v>
      </c>
      <c r="D27" s="135" t="str">
        <v>2023–2025</v>
      </c>
      <c r="E27" s="139" t="n">
        <v>15248</v>
      </c>
      <c r="F27" s="144"/>
      <c r="G27" s="144"/>
      <c r="H27" s="145" t="str"/>
      <c r="I27" s="135" t="str">
        <v>datasets</v>
      </c>
      <c r="J27" s="135" t="str"/>
      <c r="K27" s="135" t="str">
        <v>Table S8; Fig. 2a</v>
      </c>
      <c r="L27" s="121"/>
    </row>
    <row r="28" ht="43" customHeight="1">
      <c r="A28" s="121"/>
      <c r="B28" s="134" t="str">
        <v>Share with at least 100 runs</v>
      </c>
      <c r="C28" s="134" t="str">
        <v>Datasets with run counts</v>
      </c>
      <c r="D28" s="134" t="str">
        <v>2013–2016</v>
      </c>
      <c r="E28" s="141" t="n">
        <v>19.8</v>
      </c>
      <c r="F28" s="142"/>
      <c r="G28" s="142"/>
      <c r="H28" s="143" t="str"/>
      <c r="I28" s="134" t="str">
        <v>% of datasets</v>
      </c>
      <c r="J28" s="134" t="str"/>
      <c r="K28" s="134" t="str">
        <v>Table S8; Fig. 2b</v>
      </c>
      <c r="L28" s="121"/>
    </row>
    <row r="29" ht="43" customHeight="1">
      <c r="A29" s="121"/>
      <c r="B29" s="135" t="str">
        <v>Share with at least 100 runs</v>
      </c>
      <c r="C29" s="135" t="str">
        <v>Datasets with run counts</v>
      </c>
      <c r="D29" s="135" t="str">
        <v>2023–2025</v>
      </c>
      <c r="E29" s="139" t="n">
        <v>9</v>
      </c>
      <c r="F29" s="144"/>
      <c r="G29" s="144"/>
      <c r="H29" s="145" t="str"/>
      <c r="I29" s="135" t="str">
        <v>% of datasets</v>
      </c>
      <c r="J29" s="135" t="str"/>
      <c r="K29" s="135" t="str">
        <v>Table S8; Fig. 2b</v>
      </c>
      <c r="L29" s="121"/>
    </row>
    <row r="30" ht="43" customHeight="1">
      <c r="A30" s="121"/>
      <c r="B30" s="134" t="str">
        <v>Mean channels per labelled dataset</v>
      </c>
      <c r="C30" s="134" t="str">
        <v>Datasets using isobaric labelling</v>
      </c>
      <c r="D30" s="134" t="str">
        <v>2014</v>
      </c>
      <c r="E30" s="138" t="n">
        <v>6</v>
      </c>
      <c r="F30" s="142"/>
      <c r="G30" s="142"/>
      <c r="H30" s="143" t="str"/>
      <c r="I30" s="134" t="str">
        <v>channels</v>
      </c>
      <c r="J30" s="134" t="str">
        <v>TMTpro replaced iTRAQ; channels distinguish samples measured together in a run.</v>
      </c>
      <c r="K30" s="134" t="str">
        <v>Supplementary Fig. 8; Gallery/data/27-isobaric-plex.csv</v>
      </c>
      <c r="L30" s="121"/>
    </row>
    <row r="31" ht="43" customHeight="1">
      <c r="A31" s="121"/>
      <c r="B31" s="135" t="str">
        <v>Mean channels per labelled dataset</v>
      </c>
      <c r="C31" s="135" t="str">
        <v>Datasets using isobaric labelling</v>
      </c>
      <c r="D31" s="135" t="str">
        <v>2025</v>
      </c>
      <c r="E31" s="139" t="n">
        <v>13</v>
      </c>
      <c r="F31" s="144"/>
      <c r="G31" s="144"/>
      <c r="H31" s="145" t="str"/>
      <c r="I31" s="135" t="str">
        <v>channels</v>
      </c>
      <c r="J31" s="135" t="str">
        <v>TMTpro replaced iTRAQ; channels distinguish samples measured together in a run.</v>
      </c>
      <c r="K31" s="135" t="str">
        <v>Supplementary Fig. 8; Gallery/data/27-isobaric-plex.csv</v>
      </c>
      <c r="L31" s="121"/>
    </row>
    <row r="32" ht="87" customHeight="1">
      <c r="A32" s="121"/>
      <c r="B32" s="134" t="str">
        <v>Run-count sensitivity analyses</v>
      </c>
      <c r="C32" s="134" t="str">
        <v>Alternative units, counts, composition and strata</v>
      </c>
      <c r="D32" s="134" t="str">
        <v>2013–2016 versus 2023–2025</v>
      </c>
      <c r="E32" s="138" t="n">
        <v>5</v>
      </c>
      <c r="F32" s="142"/>
      <c r="G32" s="142"/>
      <c r="H32" s="143" t="str"/>
      <c r="I32" s="134" t="str">
        <v>analyses</v>
      </c>
      <c r="J32" s="134" t="str">
        <v>Combine datasets from the same paper; exact counts only; collapse fraction-numbered runs; reweight vendor, acquisition mode, labelling, species and submission type to the early composition; stratify by country. The overall median decline persisted.</v>
      </c>
      <c r="K32" s="134" t="str">
        <v>Table S8; Fig. 2c</v>
      </c>
      <c r="L32" s="121"/>
    </row>
    <row r="33" ht="43" customHeight="1">
      <c r="A33" s="121"/>
      <c r="B33" s="135" t="str">
        <v>Early Bruker subset</v>
      </c>
      <c r="C33" s="135" t="str">
        <v>Datasets naming Bruker instruments in the run-count comparison</v>
      </c>
      <c r="D33" s="135" t="str">
        <v>2013–2016</v>
      </c>
      <c r="E33" s="139" t="n">
        <v>56</v>
      </c>
      <c r="F33" s="144"/>
      <c r="G33" s="144"/>
      <c r="H33" s="145" t="str"/>
      <c r="I33" s="135" t="str">
        <v>datasets</v>
      </c>
      <c r="J33" s="135" t="str">
        <v>No detectable decrease for this subset, TMT-labelled datasets or SCIEX-labelled datasets.</v>
      </c>
      <c r="K33" s="135" t="str">
        <v>Table S8</v>
      </c>
      <c r="L33" s="121"/>
    </row>
    <row r="34" ht="57" customHeight="1">
      <c r="A34" s="121"/>
      <c r="B34" s="134" t="str">
        <v>Within-group versus pooled slope</v>
      </c>
      <c r="C34" s="134" t="str">
        <v>3,456 groups contributing in multiple years; 23,486 datasets</v>
      </c>
      <c r="D34" s="134" t="str">
        <v>Across the study years</v>
      </c>
      <c r="E34" s="138" t="n">
        <v>38</v>
      </c>
      <c r="F34" s="142"/>
      <c r="G34" s="142"/>
      <c r="H34" s="143" t="str"/>
      <c r="I34" s="134" t="str">
        <v>% of pooled slope</v>
      </c>
      <c r="J34" s="134" t="str">
        <v>Slopes of log2 raw-run counts on time, compared on the same datasets. This is not a decomposition of the median decline.</v>
      </c>
      <c r="K34" s="134" t="str">
        <v>Findings-ledger.md; within-group analysis</v>
      </c>
      <c r="L34" s="121"/>
    </row>
    <row r="35" ht="43" customHeight="1">
      <c r="A35" s="121"/>
      <c r="B35" s="135" t="str">
        <v>Median raw-run size by model</v>
      </c>
      <c r="C35" s="135" t="str">
        <v>Eligible single-model datasets with exact run counts</v>
      </c>
      <c r="D35" s="135" t="str">
        <v>LTQ Orbitrap</v>
      </c>
      <c r="E35" s="140" t="n">
        <v>0.44</v>
      </c>
      <c r="F35" s="144"/>
      <c r="G35" s="144"/>
      <c r="H35" s="145" t="str"/>
      <c r="I35" s="135" t="str">
        <v>GB per run</v>
      </c>
      <c r="J35" s="135" t="str">
        <v>Model references: Makarov2006 and Stewart2023. GB = 10^9 bytes.</v>
      </c>
      <c r="K35" s="135" t="str">
        <v>Table S7; Fig. 2d</v>
      </c>
      <c r="L35" s="121"/>
    </row>
    <row r="36" ht="43" customHeight="1">
      <c r="A36" s="121"/>
      <c r="B36" s="134" t="str">
        <v>Median raw-run size by model</v>
      </c>
      <c r="C36" s="134" t="str">
        <v>Eligible single-model datasets with exact run counts</v>
      </c>
      <c r="D36" s="134" t="str">
        <v>Orbitrap Astral</v>
      </c>
      <c r="E36" s="141" t="n">
        <v>3.95</v>
      </c>
      <c r="F36" s="142"/>
      <c r="G36" s="142"/>
      <c r="H36" s="143" t="str"/>
      <c r="I36" s="134" t="str">
        <v>GB per run</v>
      </c>
      <c r="J36" s="134" t="str">
        <v>Model references: Makarov2006 and Stewart2023. GB = 10^9 bytes.</v>
      </c>
      <c r="K36" s="134" t="str">
        <v>Table S7; Fig. 2d</v>
      </c>
      <c r="L36" s="121"/>
    </row>
    <row r="37" ht="43" customHeight="1">
      <c r="A37" s="121"/>
      <c r="B37" s="135" t="str">
        <v>Instrument-mix component of run-size change</v>
      </c>
      <c r="C37" s="135" t="str">
        <v>Single identified model and exact raw-run count</v>
      </c>
      <c r="D37" s="135" t="str">
        <v>2023–2025 versus 2014–2016</v>
      </c>
      <c r="E37" s="140" t="n">
        <v>2.3</v>
      </c>
      <c r="F37" s="144"/>
      <c r="G37" s="144"/>
      <c r="H37" s="145" t="str"/>
      <c r="I37" s="135" t="str">
        <v>fold</v>
      </c>
      <c r="J37" s="135" t="str">
        <v>Decomposition of change in mean log10 bytes per run. No interval reported for this component in the manuscript.</v>
      </c>
      <c r="K37" s="135" t="str">
        <v>Table S21, H1.4; Fig. 2d</v>
      </c>
      <c r="L37" s="121"/>
    </row>
    <row r="38" ht="43" customHeight="1">
      <c r="A38" s="121"/>
      <c r="B38" s="134" t="str">
        <v>Within-model component of run-size change</v>
      </c>
      <c r="C38" s="134" t="str">
        <v>Single identified model and exact raw-run count</v>
      </c>
      <c r="D38" s="134" t="str">
        <v>2023–2025 versus 2014–2016</v>
      </c>
      <c r="E38" s="141" t="n">
        <v>0.85</v>
      </c>
      <c r="F38" s="146" t="n">
        <v>0.8</v>
      </c>
      <c r="G38" s="146" t="n">
        <v>1.1</v>
      </c>
      <c r="H38" s="143" t="str">
        <v>95% interval</v>
      </c>
      <c r="I38" s="134" t="str">
        <v>fold</v>
      </c>
      <c r="J38" s="134" t="str">
        <v>Decomposition of change in mean log10 bytes per run.</v>
      </c>
      <c r="K38" s="134" t="str">
        <v>Table S21, H1.4; Fig. 2d</v>
      </c>
      <c r="L38" s="121"/>
    </row>
    <row r="39" ht="43" customHeight="1">
      <c r="A39" s="121"/>
      <c r="B39" s="135" t="str">
        <v>Bytes held by largest 1% of deposits</v>
      </c>
      <c r="C39" s="135" t="str">
        <v>All listed dataset bytes</v>
      </c>
      <c r="D39" s="135" t="str">
        <v>2013–2025 releases</v>
      </c>
      <c r="E39" s="139" t="n">
        <v>24</v>
      </c>
      <c r="F39" s="144"/>
      <c r="G39" s="144"/>
      <c r="H39" s="145" t="str"/>
      <c r="I39" s="135" t="str">
        <v>% of bytes</v>
      </c>
      <c r="J39" s="135" t="str"/>
      <c r="K39" s="135" t="str">
        <v>Fig. 2e; Findings-ledger.md</v>
      </c>
      <c r="L39" s="121"/>
    </row>
    <row r="40" ht="43" customHeight="1">
      <c r="A40" s="121"/>
      <c r="B40" s="134" t="str">
        <v>Raw vendor-format files</v>
      </c>
      <c r="C40" s="134" t="str">
        <v>All listed file bytes</v>
      </c>
      <c r="D40" s="134" t="str">
        <v>2013–2025 releases</v>
      </c>
      <c r="E40" s="138" t="n">
        <v>84</v>
      </c>
      <c r="F40" s="142"/>
      <c r="G40" s="142"/>
      <c r="H40" s="143" t="str"/>
      <c r="I40" s="134" t="str">
        <v>% of bytes</v>
      </c>
      <c r="J40" s="134" t="str"/>
      <c r="K40" s="134" t="str">
        <v>Fig. 2f; Supplementary Fig. 6</v>
      </c>
      <c r="L40" s="121"/>
    </row>
    <row r="41" ht="43" customHeight="1">
      <c r="A41" s="121"/>
      <c r="B41" s="135" t="str">
        <v>Thermo Fisher share of instrument assignments</v>
      </c>
      <c r="C41" s="135" t="str">
        <v>One count per identified dataset, split among named models</v>
      </c>
      <c r="D41" s="135" t="str">
        <v>Annual values, 2013–2025</v>
      </c>
      <c r="E41" s="137"/>
      <c r="F41" s="147" t="n">
        <v>79</v>
      </c>
      <c r="G41" s="147" t="n">
        <v>89</v>
      </c>
      <c r="H41" s="145" t="str">
        <v>Observed annual range</v>
      </c>
      <c r="I41" s="135" t="str">
        <v>% of fractional counts</v>
      </c>
      <c r="J41" s="135" t="str">
        <v>Different from unweighted model shares in S7.</v>
      </c>
      <c r="K41" s="135" t="str">
        <v>Fig. 3a; Gallery/data/14-fleet-history.csv</v>
      </c>
      <c r="L41" s="121"/>
    </row>
    <row r="42" ht="43" customHeight="1">
      <c r="A42" s="121"/>
      <c r="B42" s="134" t="str">
        <v>Fractional instrument share: LTQ Orbitrap</v>
      </c>
      <c r="C42" s="134" t="str">
        <v>One count per identified dataset, split among named models</v>
      </c>
      <c r="D42" s="134" t="str">
        <v>2013; first year of series</v>
      </c>
      <c r="E42" s="138" t="n">
        <v>40</v>
      </c>
      <c r="F42" s="142"/>
      <c r="G42" s="142"/>
      <c r="H42" s="143" t="str"/>
      <c r="I42" s="134" t="str">
        <v>% of fractional counts</v>
      </c>
      <c r="J42" s="134" t="str">
        <v>The first-year LTQ Orbitrap value is left-censored.</v>
      </c>
      <c r="K42" s="134" t="str">
        <v>Fig. 3a; Supplementary Fig. 2</v>
      </c>
      <c r="L42" s="121"/>
    </row>
    <row r="43" ht="43" customHeight="1">
      <c r="A43" s="121"/>
      <c r="B43" s="135" t="str">
        <v>Fractional instrument share: Q Exactive</v>
      </c>
      <c r="C43" s="135" t="str">
        <v>One count per identified dataset, split among named models</v>
      </c>
      <c r="D43" s="135" t="str">
        <v>Peak year</v>
      </c>
      <c r="E43" s="139" t="n">
        <v>38</v>
      </c>
      <c r="F43" s="144"/>
      <c r="G43" s="144"/>
      <c r="H43" s="145" t="str"/>
      <c r="I43" s="135" t="str">
        <v>% of fractional counts</v>
      </c>
      <c r="J43" s="135" t="str">
        <v>The first-year LTQ Orbitrap value is left-censored.</v>
      </c>
      <c r="K43" s="135" t="str">
        <v>Fig. 3a; Supplementary Fig. 2</v>
      </c>
      <c r="L43" s="121"/>
    </row>
    <row r="44" ht="43" customHeight="1">
      <c r="A44" s="121"/>
      <c r="B44" s="134" t="str">
        <v>Fractional instrument share: Q Exactive HF</v>
      </c>
      <c r="C44" s="134" t="str">
        <v>One count per identified dataset, split among named models</v>
      </c>
      <c r="D44" s="134" t="str">
        <v>Peak year</v>
      </c>
      <c r="E44" s="138" t="n">
        <v>19</v>
      </c>
      <c r="F44" s="142"/>
      <c r="G44" s="142"/>
      <c r="H44" s="143" t="str"/>
      <c r="I44" s="134" t="str">
        <v>% of fractional counts</v>
      </c>
      <c r="J44" s="134" t="str">
        <v>The first-year LTQ Orbitrap value is left-censored.</v>
      </c>
      <c r="K44" s="134" t="str">
        <v>Fig. 3a; Supplementary Fig. 2</v>
      </c>
      <c r="L44" s="121"/>
    </row>
    <row r="45" ht="43" customHeight="1">
      <c r="A45" s="121"/>
      <c r="B45" s="135" t="str">
        <v>timsTOF-labelled datasets</v>
      </c>
      <c r="C45" s="135" t="str">
        <v>Datasets in instrument-share analysis</v>
      </c>
      <c r="D45" s="135" t="str">
        <v>2021</v>
      </c>
      <c r="E45" s="140" t="n">
        <v>1.8</v>
      </c>
      <c r="F45" s="144"/>
      <c r="G45" s="144"/>
      <c r="H45" s="145" t="str"/>
      <c r="I45" s="135" t="str">
        <v>% of datasets</v>
      </c>
      <c r="J45" s="135" t="str">
        <v>Meier2021 described increasing use in 2021; deposits are not ownership records.</v>
      </c>
      <c r="K45" s="135" t="str">
        <v>Fig. 3a; Gallery/data/14-fleet-history.csv</v>
      </c>
      <c r="L45" s="121"/>
    </row>
    <row r="46" ht="43" customHeight="1">
      <c r="A46" s="121"/>
      <c r="B46" s="134" t="str">
        <v>timsTOF-labelled datasets</v>
      </c>
      <c r="C46" s="134" t="str">
        <v>Datasets in instrument-share analysis</v>
      </c>
      <c r="D46" s="134" t="str">
        <v>2025</v>
      </c>
      <c r="E46" s="138" t="n">
        <v>13</v>
      </c>
      <c r="F46" s="142"/>
      <c r="G46" s="142"/>
      <c r="H46" s="143" t="str"/>
      <c r="I46" s="134" t="str">
        <v>% of datasets</v>
      </c>
      <c r="J46" s="134" t="str">
        <v>Meier2021 described increasing use in 2021; deposits are not ownership records.</v>
      </c>
      <c r="K46" s="134" t="str">
        <v>Fig. 3a; Gallery/data/14-fleet-history.csv</v>
      </c>
      <c r="L46" s="121"/>
    </row>
    <row r="47" ht="43" customHeight="1">
      <c r="A47" s="121"/>
      <c r="B47" s="135" t="str">
        <v>Software named: MaxQuant</v>
      </c>
      <c r="C47" s="135" t="str">
        <v>All released datasets</v>
      </c>
      <c r="D47" s="135" t="str">
        <v>2025</v>
      </c>
      <c r="E47" s="139" t="n">
        <v>28</v>
      </c>
      <c r="F47" s="144"/>
      <c r="G47" s="144"/>
      <c r="H47" s="145" t="str"/>
      <c r="I47" s="135" t="str">
        <v>% of datasets</v>
      </c>
      <c r="J47" s="135" t="str"/>
      <c r="K47" s="135" t="str">
        <v>Fig. 3c; Figure-data/Tool-year.csv</v>
      </c>
      <c r="L47" s="121"/>
    </row>
    <row r="48" ht="43" customHeight="1">
      <c r="A48" s="121"/>
      <c r="B48" s="134" t="str">
        <v>Software named: Proteome Discoverer</v>
      </c>
      <c r="C48" s="134" t="str">
        <v>All released datasets</v>
      </c>
      <c r="D48" s="134" t="str">
        <v>2025</v>
      </c>
      <c r="E48" s="138" t="n">
        <v>20</v>
      </c>
      <c r="F48" s="142"/>
      <c r="G48" s="142"/>
      <c r="H48" s="143" t="str"/>
      <c r="I48" s="134" t="str">
        <v>% of datasets</v>
      </c>
      <c r="J48" s="134" t="str"/>
      <c r="K48" s="134" t="str">
        <v>Fig. 3c; Figure-data/Tool-year.csv</v>
      </c>
      <c r="L48" s="121"/>
    </row>
    <row r="49" ht="43" customHeight="1">
      <c r="A49" s="121"/>
      <c r="B49" s="135" t="str">
        <v>Tool-country pairs with interval excluding 1</v>
      </c>
      <c r="C49" s="135" t="str">
        <v>20 pairs of a tool and its developers’ country</v>
      </c>
      <c r="D49" s="135" t="str">
        <v>Study cohort</v>
      </c>
      <c r="E49" s="139" t="n">
        <v>11</v>
      </c>
      <c r="F49" s="144"/>
      <c r="G49" s="144"/>
      <c r="H49" s="145" t="str"/>
      <c r="I49" s="135" t="str">
        <v>pairs</v>
      </c>
      <c r="J49" s="135" t="str">
        <v>95% interval excludes equal naming rates. Developers’ own laboratories included.</v>
      </c>
      <c r="K49" s="135" t="str">
        <v>Fig. 3d; software-geography analysis</v>
      </c>
      <c r="L49" s="121"/>
    </row>
    <row r="50" ht="43" customHeight="1">
      <c r="A50" s="121"/>
      <c r="B50" s="134" t="str">
        <v>Developer-country naming ratio: Spectronaut</v>
      </c>
      <c r="C50" s="134" t="str">
        <v>Groups in Switzerland versus groups in all countries combined</v>
      </c>
      <c r="D50" s="134" t="str">
        <v>Study cohort</v>
      </c>
      <c r="E50" s="141" t="n">
        <v>3.4</v>
      </c>
      <c r="F50" s="142"/>
      <c r="G50" s="142"/>
      <c r="H50" s="143" t="str"/>
      <c r="I50" s="134" t="str">
        <v>fold</v>
      </c>
      <c r="J50" s="134" t="str">
        <v>Examples from the reported tool-country comparison. Full intervals remain in Fig. 3d/source data.</v>
      </c>
      <c r="K50" s="134" t="str">
        <v>Fig. 3d; software-geography analysis</v>
      </c>
      <c r="L50" s="121"/>
    </row>
    <row r="51" ht="43" customHeight="1">
      <c r="A51" s="121"/>
      <c r="B51" s="135" t="str">
        <v>Developer-country naming ratio: Comet</v>
      </c>
      <c r="C51" s="135" t="str">
        <v>Groups in United States versus groups in all countries combined</v>
      </c>
      <c r="D51" s="135" t="str">
        <v>Study cohort</v>
      </c>
      <c r="E51" s="140" t="n">
        <v>2.9</v>
      </c>
      <c r="F51" s="144"/>
      <c r="G51" s="144"/>
      <c r="H51" s="145" t="str"/>
      <c r="I51" s="135" t="str">
        <v>fold</v>
      </c>
      <c r="J51" s="135" t="str">
        <v>Examples from the reported tool-country comparison. Full intervals remain in Fig. 3d/source data.</v>
      </c>
      <c r="K51" s="135" t="str">
        <v>Fig. 3d; software-geography analysis</v>
      </c>
      <c r="L51" s="121"/>
    </row>
    <row r="52" ht="43" customHeight="1">
      <c r="A52" s="121"/>
      <c r="B52" s="134" t="str">
        <v>Developer-country naming ratio: MaxQuant</v>
      </c>
      <c r="C52" s="134" t="str">
        <v>Groups in Germany versus groups in all countries combined</v>
      </c>
      <c r="D52" s="134" t="str">
        <v>Study cohort</v>
      </c>
      <c r="E52" s="141" t="n">
        <v>1.5</v>
      </c>
      <c r="F52" s="142"/>
      <c r="G52" s="142"/>
      <c r="H52" s="143" t="str"/>
      <c r="I52" s="134" t="str">
        <v>fold</v>
      </c>
      <c r="J52" s="134" t="str">
        <v>Examples from the reported tool-country comparison. Full intervals remain in Fig. 3d/source data.</v>
      </c>
      <c r="K52" s="134" t="str">
        <v>Fig. 3d; software-geography analysis</v>
      </c>
      <c r="L52" s="121"/>
    </row>
    <row r="53" ht="43" customHeight="1">
      <c r="A53" s="121"/>
      <c r="B53" s="135" t="str">
        <v>MaxQuant 1.6-series share by release year</v>
      </c>
      <c r="C53" s="135" t="str">
        <v>MaxQuant datasets released in 2025 with recovered version</v>
      </c>
      <c r="D53" s="135" t="str">
        <v>Release year 2025</v>
      </c>
      <c r="E53" s="139" t="n">
        <v>47</v>
      </c>
      <c r="F53" s="144"/>
      <c r="G53" s="144"/>
      <c r="H53" s="145" t="str"/>
      <c r="I53" s="135" t="str">
        <v>% of versioned datasets</v>
      </c>
      <c r="J53" s="135" t="str">
        <v>First recorded in PRIDE in 2017; a different denominator from submission-year shares.</v>
      </c>
      <c r="K53" s="135" t="str">
        <v>Supplementary Fig. 4; Gallery/data/31-version-streams.csv</v>
      </c>
      <c r="L53" s="121"/>
    </row>
    <row r="54" ht="43" customHeight="1">
      <c r="A54" s="121"/>
      <c r="B54" s="134" t="str">
        <v>MaxQuant 1.6-series share by submission year</v>
      </c>
      <c r="C54" s="134" t="str">
        <v>361 versioned datasets among 576 submissions naming MaxQuant</v>
      </c>
      <c r="D54" s="134" t="str">
        <v>Submission year 2025</v>
      </c>
      <c r="E54" s="138" t="n">
        <v>40</v>
      </c>
      <c r="F54" s="146" t="n">
        <v>34.27</v>
      </c>
      <c r="G54" s="146" t="n">
        <v>46.58</v>
      </c>
      <c r="H54" s="143" t="str">
        <v>95% interval</v>
      </c>
      <c r="I54" s="134" t="str">
        <v>% of versioned datasets</v>
      </c>
      <c r="J54" s="134" t="str">
        <v>Point estimate rounded as in prose; Table S12 gives 40.17%.</v>
      </c>
      <c r="K54" s="134" t="str">
        <v>Table S12; Supplementary Fig. 4</v>
      </c>
      <c r="L54" s="121"/>
    </row>
    <row r="55" ht="43" customHeight="1">
      <c r="A55" s="121"/>
      <c r="B55" s="135" t="str">
        <v>DIA-NN 1.8-series share by submission year</v>
      </c>
      <c r="C55" s="135" t="str">
        <v>110 versioned datasets among 331 submissions naming DIA-NN</v>
      </c>
      <c r="D55" s="135" t="str">
        <v>Submission year 2025</v>
      </c>
      <c r="E55" s="139" t="n">
        <v>61</v>
      </c>
      <c r="F55" s="147" t="n">
        <v>48</v>
      </c>
      <c r="G55" s="147" t="n">
        <v>74</v>
      </c>
      <c r="H55" s="145" t="str">
        <v>95% interval</v>
      </c>
      <c r="I55" s="135" t="str">
        <v>% of versioned datasets</v>
      </c>
      <c r="J55" s="135" t="str">
        <v>Rounded as in prose; Table S12 gives estimates and bounds at source precision.</v>
      </c>
      <c r="K55" s="135" t="str">
        <v>Table S12; Supplementary Fig. 4</v>
      </c>
      <c r="L55" s="121"/>
    </row>
    <row r="56" ht="43" customHeight="1">
      <c r="A56" s="121"/>
      <c r="B56" s="134" t="str">
        <v>Eligible identification-result datasets</v>
      </c>
      <c r="C56" s="134" t="str">
        <v>All released datasets</v>
      </c>
      <c r="D56" s="134" t="str">
        <v>2025</v>
      </c>
      <c r="E56" s="138" t="n">
        <v>6231</v>
      </c>
      <c r="F56" s="142"/>
      <c r="G56" s="142"/>
      <c r="H56" s="143" t="str"/>
      <c r="I56" s="134" t="str">
        <v>datasets</v>
      </c>
      <c r="J56" s="134" t="str"/>
      <c r="K56" s="134" t="str">
        <v>Table S1; Table S13</v>
      </c>
      <c r="L56" s="121"/>
    </row>
    <row r="57" ht="43" customHeight="1">
      <c r="A57" s="121"/>
      <c r="B57" s="135" t="str">
        <v>Identifiable results: Top-level file names</v>
      </c>
      <c r="C57" s="135" t="str">
        <v>All released datasets</v>
      </c>
      <c r="D57" s="135" t="str">
        <v>2025</v>
      </c>
      <c r="E57" s="139" t="n">
        <v>59</v>
      </c>
      <c r="F57" s="144"/>
      <c r="G57" s="144"/>
      <c r="H57" s="145" t="str"/>
      <c r="I57" s="135" t="str">
        <v>% of datasets</v>
      </c>
      <c r="J57" s="135" t="str">
        <v>Lower-bound detection, not validity or usability.</v>
      </c>
      <c r="K57" s="135" t="str">
        <v>Table S13; Fig. 4c</v>
      </c>
      <c r="L57" s="121"/>
    </row>
    <row r="58" ht="43" customHeight="1">
      <c r="A58" s="121"/>
      <c r="B58" s="134" t="str">
        <v>Identifiable results: Adding archive contents</v>
      </c>
      <c r="C58" s="134" t="str">
        <v>All released datasets</v>
      </c>
      <c r="D58" s="134" t="str">
        <v>2025</v>
      </c>
      <c r="E58" s="138" t="n">
        <v>68</v>
      </c>
      <c r="F58" s="142"/>
      <c r="G58" s="142"/>
      <c r="H58" s="143" t="str"/>
      <c r="I58" s="134" t="str">
        <v>% of datasets</v>
      </c>
      <c r="J58" s="134" t="str">
        <v>Lower-bound detection, not validity or usability.</v>
      </c>
      <c r="K58" s="134" t="str">
        <v>Table S13; Fig. 4c</v>
      </c>
      <c r="L58" s="121"/>
    </row>
    <row r="59" ht="43" customHeight="1">
      <c r="A59" s="121"/>
      <c r="B59" s="135" t="str">
        <v>Identifiable results: Adding table headers</v>
      </c>
      <c r="C59" s="135" t="str">
        <v>All released datasets</v>
      </c>
      <c r="D59" s="135" t="str">
        <v>2025</v>
      </c>
      <c r="E59" s="139" t="n">
        <v>80</v>
      </c>
      <c r="F59" s="144"/>
      <c r="G59" s="144"/>
      <c r="H59" s="145" t="str"/>
      <c r="I59" s="135" t="str">
        <v>% of datasets</v>
      </c>
      <c r="J59" s="135" t="str">
        <v>Lower-bound detection, not validity or usability.</v>
      </c>
      <c r="K59" s="135" t="str">
        <v>Table S13; Fig. 4c</v>
      </c>
      <c r="L59" s="121"/>
    </row>
    <row r="60" ht="43" customHeight="1">
      <c r="A60" s="121"/>
      <c r="B60" s="134" t="str">
        <v>Identifiable results at all search depths</v>
      </c>
      <c r="C60" s="134" t="str">
        <v>All released datasets</v>
      </c>
      <c r="D60" s="134" t="str">
        <v>2015</v>
      </c>
      <c r="E60" s="138" t="n">
        <v>92</v>
      </c>
      <c r="F60" s="142"/>
      <c r="G60" s="142"/>
      <c r="H60" s="143" t="str"/>
      <c r="I60" s="134" t="str">
        <v>% of datasets</v>
      </c>
      <c r="J60" s="134" t="str">
        <v>Compared with 80% in 2025.</v>
      </c>
      <c r="K60" s="134" t="str">
        <v>Table S13; Fig. 4d</v>
      </c>
      <c r="L60" s="121"/>
    </row>
    <row r="61" ht="43" customHeight="1">
      <c r="A61" s="121"/>
      <c r="B61" s="135" t="str">
        <v>Standard-result-file prevalence</v>
      </c>
      <c r="C61" s="135" t="str">
        <v>All released datasets</v>
      </c>
      <c r="D61" s="135" t="str">
        <v>Annual values since 2015</v>
      </c>
      <c r="E61" s="137"/>
      <c r="F61" s="147" t="n">
        <v>16</v>
      </c>
      <c r="G61" s="147" t="n">
        <v>20</v>
      </c>
      <c r="H61" s="145" t="str">
        <v>Observed annual range</v>
      </c>
      <c r="I61" s="135" t="str">
        <v>% of datasets</v>
      </c>
      <c r="J61" s="135" t="str">
        <v>Submitter-deposited mzIdentML or mzTab; repository-generated files excluded.</v>
      </c>
      <c r="K61" s="135" t="str">
        <v>Table S13</v>
      </c>
      <c r="L61" s="121"/>
    </row>
    <row r="62" ht="43" customHeight="1">
      <c r="A62" s="121"/>
      <c r="B62" s="134" t="str">
        <v>Standard result files: DIA-NN</v>
      </c>
      <c r="C62" s="134" t="str">
        <v>Datasets naming a single analysis tool</v>
      </c>
      <c r="D62" s="134" t="str">
        <v>Study cohort</v>
      </c>
      <c r="E62" s="141" t="n">
        <v>0.2</v>
      </c>
      <c r="F62" s="142"/>
      <c r="G62" s="142"/>
      <c r="H62" s="143" t="str"/>
      <c r="I62" s="134" t="str">
        <v>% of datasets</v>
      </c>
      <c r="J62" s="134" t="str">
        <v>Lowest and highest observed tool-specific rates, respectively.</v>
      </c>
      <c r="K62" s="134" t="str">
        <v>Table S9; Fig. 4a</v>
      </c>
      <c r="L62" s="121"/>
    </row>
    <row r="63" ht="43" customHeight="1">
      <c r="A63" s="121"/>
      <c r="B63" s="135" t="str">
        <v>Standard result files: MS-GF+</v>
      </c>
      <c r="C63" s="135" t="str">
        <v>Datasets naming a single analysis tool</v>
      </c>
      <c r="D63" s="135" t="str">
        <v>Study cohort</v>
      </c>
      <c r="E63" s="139" t="n">
        <v>76</v>
      </c>
      <c r="F63" s="144"/>
      <c r="G63" s="144"/>
      <c r="H63" s="145" t="str"/>
      <c r="I63" s="135" t="str">
        <v>% of datasets</v>
      </c>
      <c r="J63" s="135" t="str">
        <v>Lowest and highest observed tool-specific rates, respectively.</v>
      </c>
      <c r="K63" s="135" t="str">
        <v>Table S9; Fig. 4a</v>
      </c>
      <c r="L63" s="121"/>
    </row>
    <row r="64" ht="43" customHeight="1">
      <c r="A64" s="121"/>
      <c r="B64" s="134" t="str">
        <v>Standard files when export is optional</v>
      </c>
      <c r="C64" s="134" t="str">
        <v>Datasets naming tools offering standard output as an option</v>
      </c>
      <c r="D64" s="134" t="str">
        <v>Study cohort</v>
      </c>
      <c r="E64" s="138" t="n">
        <v>15</v>
      </c>
      <c r="F64" s="148" t="n">
        <v>14</v>
      </c>
      <c r="G64" s="148" t="n">
        <v>18</v>
      </c>
      <c r="H64" s="143" t="str">
        <v>95% interval</v>
      </c>
      <c r="I64" s="134" t="str">
        <v>% of datasets</v>
      </c>
      <c r="J64" s="134" t="str"/>
      <c r="K64" s="134" t="str">
        <v>Table S10; Fig. 4b</v>
      </c>
      <c r="L64" s="121"/>
    </row>
    <row r="65" ht="43" customHeight="1">
      <c r="A65" s="121"/>
      <c r="B65" s="135" t="str">
        <v>Default-export group size</v>
      </c>
      <c r="C65" s="135" t="str">
        <v>MS-GF+ and MetaMorpheus only</v>
      </c>
      <c r="D65" s="135" t="str">
        <v>Study cohort</v>
      </c>
      <c r="E65" s="139" t="n">
        <v>144</v>
      </c>
      <c r="F65" s="144"/>
      <c r="G65" s="144"/>
      <c r="H65" s="145" t="str"/>
      <c r="I65" s="135" t="str">
        <v>datasets</v>
      </c>
      <c r="J65" s="135" t="str"/>
      <c r="K65" s="135" t="str">
        <v>Table S10; Fig. 4b</v>
      </c>
      <c r="L65" s="121"/>
    </row>
    <row r="66" ht="43" customHeight="1">
      <c r="A66" s="121"/>
      <c r="B66" s="134" t="str">
        <v>MetaMorpheus deposits with standard files</v>
      </c>
      <c r="C66" s="134" t="str">
        <v>Single-tool MetaMorpheus datasets</v>
      </c>
      <c r="D66" s="134" t="str">
        <v>Study cohort</v>
      </c>
      <c r="E66" s="138" t="n">
        <v>23</v>
      </c>
      <c r="F66" s="142"/>
      <c r="G66" s="142"/>
      <c r="H66" s="143" t="str"/>
      <c r="I66" s="134" t="str">
        <v>% of datasets</v>
      </c>
      <c r="J66" s="134" t="str">
        <v>The tool writes standard files by default.</v>
      </c>
      <c r="K66" s="134" t="str">
        <v>Table S9; Fig. 4a</v>
      </c>
      <c r="L66" s="121"/>
    </row>
    <row r="67" ht="43" customHeight="1">
      <c r="A67" s="121"/>
      <c r="B67" s="135" t="str">
        <v>Software-mix component of standard-file change</v>
      </c>
      <c r="C67" s="135" t="str">
        <v>Software families</v>
      </c>
      <c r="D67" s="135" t="str">
        <v>2023–2025 versus 2019–2021</v>
      </c>
      <c r="E67" s="139" t="n">
        <v>-3</v>
      </c>
      <c r="F67" s="149" t="n">
        <v>-3.4</v>
      </c>
      <c r="G67" s="149" t="n">
        <v>-2.5</v>
      </c>
      <c r="H67" s="145" t="str">
        <v>95% interval</v>
      </c>
      <c r="I67" s="135" t="str">
        <v>percentage points</v>
      </c>
      <c r="J67" s="135" t="str">
        <v>Mainly growth of DIA-NN and Spectronaut and decline of Mascot.</v>
      </c>
      <c r="K67" s="135" t="str">
        <v>Findings-ledger.md; standards-by-stack analysis</v>
      </c>
      <c r="L67" s="121"/>
    </row>
    <row r="68" ht="43" customHeight="1">
      <c r="A68" s="121"/>
      <c r="B68" s="134" t="str">
        <v>Within-family component of standard-file change</v>
      </c>
      <c r="C68" s="134" t="str">
        <v>Software families</v>
      </c>
      <c r="D68" s="134" t="str">
        <v>2023–2025 versus 2019–2021</v>
      </c>
      <c r="E68" s="141" t="n">
        <v>1.6</v>
      </c>
      <c r="F68" s="146" t="n">
        <v>0.1</v>
      </c>
      <c r="G68" s="146" t="n">
        <v>3.2</v>
      </c>
      <c r="H68" s="143" t="str">
        <v>95% interval</v>
      </c>
      <c r="I68" s="134" t="str">
        <v>percentage points</v>
      </c>
      <c r="J68" s="134" t="str"/>
      <c r="K68" s="134" t="str">
        <v>Findings-ledger.md; standards-by-stack analysis</v>
      </c>
      <c r="L68" s="121"/>
    </row>
    <row r="69" ht="43" customHeight="1">
      <c r="A69" s="121"/>
      <c r="B69" s="135" t="str">
        <v>Standard-file prevalence without detected DIA</v>
      </c>
      <c r="C69" s="135" t="str">
        <v>Datasets with no DIA detected</v>
      </c>
      <c r="D69" s="135" t="str">
        <v>Annual values since 2020</v>
      </c>
      <c r="E69" s="137"/>
      <c r="F69" s="147" t="n">
        <v>19</v>
      </c>
      <c r="G69" s="147" t="n">
        <v>21</v>
      </c>
      <c r="H69" s="145" t="str">
        <v>Observed annual range</v>
      </c>
      <c r="I69" s="135" t="str">
        <v>% of datasets</v>
      </c>
      <c r="J69" s="135" t="str"/>
      <c r="K69" s="135" t="str">
        <v>Findings-ledger.md; standards-by-stack analysis</v>
      </c>
      <c r="L69" s="121"/>
    </row>
    <row r="70" ht="43" customHeight="1">
      <c r="A70" s="121"/>
      <c r="B70" s="134" t="str">
        <v>Detected DIA prevalence</v>
      </c>
      <c r="C70" s="134" t="str">
        <v>All released datasets</v>
      </c>
      <c r="D70" s="134" t="str">
        <v>2015</v>
      </c>
      <c r="E70" s="141" t="n">
        <v>2.8</v>
      </c>
      <c r="F70" s="142"/>
      <c r="G70" s="142"/>
      <c r="H70" s="143" t="str"/>
      <c r="I70" s="134" t="str">
        <v>% of datasets</v>
      </c>
      <c r="J70" s="134" t="str"/>
      <c r="K70" s="134" t="str">
        <v>Table S1; standards-by-stack analysis</v>
      </c>
      <c r="L70" s="121"/>
    </row>
    <row r="71" ht="43" customHeight="1">
      <c r="A71" s="121"/>
      <c r="B71" s="135" t="str">
        <v>Detected DIA prevalence</v>
      </c>
      <c r="C71" s="135" t="str">
        <v>All released datasets</v>
      </c>
      <c r="D71" s="135" t="str">
        <v>2025</v>
      </c>
      <c r="E71" s="140" t="n">
        <v>21.1</v>
      </c>
      <c r="F71" s="144"/>
      <c r="G71" s="144"/>
      <c r="H71" s="145" t="str"/>
      <c r="I71" s="135" t="str">
        <v>% of datasets</v>
      </c>
      <c r="J71" s="135" t="str"/>
      <c r="K71" s="135" t="str">
        <v>Table S1; standards-by-stack analysis</v>
      </c>
      <c r="L71" s="121"/>
    </row>
    <row r="72" ht="43" customHeight="1">
      <c r="A72" s="121"/>
      <c r="B72" s="134" t="str">
        <v>Standard-file prevalence with detected DIA</v>
      </c>
      <c r="C72" s="134" t="str">
        <v>Datasets with DIA detected</v>
      </c>
      <c r="D72" s="134" t="str">
        <v>2023–2025</v>
      </c>
      <c r="E72" s="138" t="n">
        <v>3</v>
      </c>
      <c r="F72" s="142"/>
      <c r="G72" s="142"/>
      <c r="H72" s="143" t="str"/>
      <c r="I72" s="134" t="str">
        <v>% of datasets</v>
      </c>
      <c r="J72" s="134" t="str">
        <v>Approximately 3%, as reported in prose.</v>
      </c>
      <c r="K72" s="134" t="str">
        <v>Findings-ledger.md; standards-by-stack analysis</v>
      </c>
      <c r="L72" s="121"/>
    </row>
    <row r="73" ht="57" customHeight="1">
      <c r="A73" s="121"/>
      <c r="B73" s="135" t="str">
        <v>Uncompressed results-archive storage: Scan-level and intermediate search outputs</v>
      </c>
      <c r="C73" s="135" t="str">
        <v>Bytes in uncompressed results archives</v>
      </c>
      <c r="D73" s="135" t="str">
        <v>Study cohort</v>
      </c>
      <c r="E73" s="139" t="n">
        <v>66</v>
      </c>
      <c r="F73" s="144"/>
      <c r="G73" s="144"/>
      <c r="H73" s="145" t="str"/>
      <c r="I73" s="135" t="str">
        <v>% of bytes</v>
      </c>
      <c r="J73" s="135" t="str"/>
      <c r="K73" s="135" t="str">
        <v>Supplementary Fig. 6</v>
      </c>
      <c r="L73" s="121"/>
    </row>
    <row r="74" ht="43" customHeight="1">
      <c r="A74" s="121"/>
      <c r="B74" s="134" t="str">
        <v>Uncompressed results-archive storage: Final result tables</v>
      </c>
      <c r="C74" s="134" t="str">
        <v>Bytes in uncompressed results archives</v>
      </c>
      <c r="D74" s="134" t="str">
        <v>Study cohort</v>
      </c>
      <c r="E74" s="141" t="n">
        <v>3.9</v>
      </c>
      <c r="F74" s="142"/>
      <c r="G74" s="142"/>
      <c r="H74" s="143" t="str"/>
      <c r="I74" s="134" t="str">
        <v>% of bytes</v>
      </c>
      <c r="J74" s="134" t="str"/>
      <c r="K74" s="134" t="str">
        <v>Supplementary Fig. 6</v>
      </c>
      <c r="L74" s="121"/>
    </row>
    <row r="75" ht="43" customHeight="1">
      <c r="A75" s="121"/>
      <c r="B75" s="135" t="str">
        <v>Spectra in open formats present</v>
      </c>
      <c r="C75" s="135" t="str">
        <v>All released datasets</v>
      </c>
      <c r="D75" s="135" t="str">
        <v>2013–2016</v>
      </c>
      <c r="E75" s="139" t="n">
        <v>34</v>
      </c>
      <c r="F75" s="144"/>
      <c r="G75" s="144"/>
      <c r="H75" s="145" t="str"/>
      <c r="I75" s="135" t="str">
        <v>% of datasets</v>
      </c>
      <c r="J75" s="135" t="str"/>
      <c r="K75" s="135" t="str">
        <v>Supplementary Fig. 7; Gallery/data/30-file-formats-periods.csv</v>
      </c>
      <c r="L75" s="121"/>
    </row>
    <row r="76" ht="43" customHeight="1">
      <c r="A76" s="121"/>
      <c r="B76" s="134" t="str">
        <v>Spectra in open formats present</v>
      </c>
      <c r="C76" s="134" t="str">
        <v>All released datasets</v>
      </c>
      <c r="D76" s="134" t="str">
        <v>2023–2025</v>
      </c>
      <c r="E76" s="138" t="n">
        <v>21</v>
      </c>
      <c r="F76" s="142"/>
      <c r="G76" s="142"/>
      <c r="H76" s="143" t="str"/>
      <c r="I76" s="134" t="str">
        <v>% of datasets</v>
      </c>
      <c r="J76" s="134" t="str"/>
      <c r="K76" s="134" t="str">
        <v>Supplementary Fig. 7; Gallery/data/30-file-formats-periods.csv</v>
      </c>
      <c r="L76" s="121"/>
    </row>
    <row r="77" ht="43" customHeight="1">
      <c r="A77" s="121"/>
      <c r="B77" s="135" t="str">
        <v>Contribution of complete-submission decline</v>
      </c>
      <c r="C77" s="135" t="str">
        <v>Submissions classified as complete require peak lists</v>
      </c>
      <c r="D77" s="135" t="str">
        <v>2013–2016 versus 2023–2025</v>
      </c>
      <c r="E77" s="137"/>
      <c r="F77" s="147" t="n">
        <v>5</v>
      </c>
      <c r="G77" s="147" t="n">
        <v>10</v>
      </c>
      <c r="H77" s="145" t="str">
        <v>Estimated contribution range</v>
      </c>
      <c r="I77" s="135" t="str">
        <v>percentage points</v>
      </c>
      <c r="J77" s="135" t="str">
        <v>Complete-submission share halved; contribution to the 13 percentage-point open-spectra decline.</v>
      </c>
      <c r="K77" s="135" t="str">
        <v>Supplementary Fig. 7</v>
      </c>
      <c r="L77" s="121"/>
    </row>
    <row r="78" ht="43" customHeight="1">
      <c r="A78" s="121"/>
      <c r="B78" s="134" t="str">
        <v>SDRF recurrence</v>
      </c>
      <c r="C78" s="134" t="str">
        <v>Next dataset of a group whose previous dataset had SDRF</v>
      </c>
      <c r="D78" s="134" t="str">
        <v>Study cohort</v>
      </c>
      <c r="E78" s="138" t="n">
        <v>44</v>
      </c>
      <c r="F78" s="142"/>
      <c r="G78" s="142"/>
      <c r="H78" s="143" t="str"/>
      <c r="I78" s="134" t="str">
        <v>% of next datasets</v>
      </c>
      <c r="J78" s="134" t="str">
        <v>Unadjusted for pairs submitted on the same day or linked to the same paper; includes retrospective additions.</v>
      </c>
      <c r="K78" s="134" t="str">
        <v>Table S14; Fig. 4e</v>
      </c>
      <c r="L78" s="121"/>
    </row>
    <row r="79" ht="43" customHeight="1">
      <c r="A79" s="121"/>
      <c r="B79" s="135" t="str">
        <v>Expected SDRF recurrence</v>
      </c>
      <c r="C79" s="135" t="str">
        <v>Release-year-matched expectation</v>
      </c>
      <c r="D79" s="135" t="str">
        <v>Study cohort</v>
      </c>
      <c r="E79" s="140" t="n">
        <v>2.5</v>
      </c>
      <c r="F79" s="144"/>
      <c r="G79" s="144"/>
      <c r="H79" s="145" t="str"/>
      <c r="I79" s="135" t="str">
        <v>% of next datasets</v>
      </c>
      <c r="J79" s="135" t="str"/>
      <c r="K79" s="135" t="str">
        <v>Table S14; Fig. 4e</v>
      </c>
      <c r="L79" s="121"/>
    </row>
    <row r="80" ht="43" customHeight="1">
      <c r="A80" s="121"/>
      <c r="B80" s="134" t="str">
        <v>SDRF presence</v>
      </c>
      <c r="C80" s="134" t="str">
        <v>All released datasets</v>
      </c>
      <c r="D80" s="134" t="str">
        <v>2020–2022</v>
      </c>
      <c r="E80" s="141" t="n">
        <v>0.7</v>
      </c>
      <c r="F80" s="142"/>
      <c r="G80" s="142"/>
      <c r="H80" s="143" t="str"/>
      <c r="I80" s="134" t="str">
        <v>% of datasets</v>
      </c>
      <c r="J80" s="134" t="str"/>
      <c r="K80" s="134" t="str">
        <v>Findings-ledger.md; Fig. 4e</v>
      </c>
      <c r="L80" s="121"/>
    </row>
    <row r="81" ht="43" customHeight="1">
      <c r="A81" s="121"/>
      <c r="B81" s="135" t="str">
        <v>SDRF presence</v>
      </c>
      <c r="C81" s="135" t="str">
        <v>All released datasets</v>
      </c>
      <c r="D81" s="135" t="str">
        <v>2023–2025</v>
      </c>
      <c r="E81" s="140" t="n">
        <v>2.7</v>
      </c>
      <c r="F81" s="144"/>
      <c r="G81" s="144"/>
      <c r="H81" s="145" t="str"/>
      <c r="I81" s="135" t="str">
        <v>% of datasets</v>
      </c>
      <c r="J81" s="135" t="str"/>
      <c r="K81" s="135" t="str">
        <v>Findings-ledger.md; Fig. 4e</v>
      </c>
      <c r="L81" s="121"/>
    </row>
    <row r="82" ht="43" customHeight="1">
      <c r="A82" s="121"/>
      <c r="B82" s="134" t="str">
        <v>Raw-file measurement-date coverage</v>
      </c>
      <c r="C82" s="134" t="str">
        <v>11,868 dated datasets among 35,364 datasets with raw files</v>
      </c>
      <c r="D82" s="134" t="str">
        <v>2013–2025 releases</v>
      </c>
      <c r="E82" s="138" t="n">
        <v>34</v>
      </c>
      <c r="F82" s="142"/>
      <c r="G82" s="142"/>
      <c r="H82" s="143" t="str"/>
      <c r="I82" s="134" t="str">
        <v>% of raw-file datasets</v>
      </c>
      <c r="J82" s="134" t="str"/>
      <c r="K82" s="134" t="str">
        <v>Table S15; Fig. 5a</v>
      </c>
      <c r="L82" s="121"/>
    </row>
    <row r="83" ht="43" customHeight="1">
      <c r="A83" s="121"/>
      <c r="B83" s="135" t="str">
        <v>Database date to public release</v>
      </c>
      <c r="C83" s="135" t="str">
        <v>2,558 datasets with eligible sequence-database date</v>
      </c>
      <c r="D83" s="135" t="str">
        <v>Study cohort</v>
      </c>
      <c r="E83" s="140" t="n">
        <v>2.5</v>
      </c>
      <c r="F83" s="149" t="n">
        <v>2.4</v>
      </c>
      <c r="G83" s="149" t="n">
        <v>2.6</v>
      </c>
      <c r="H83" s="145" t="str">
        <v>95% interval</v>
      </c>
      <c r="I83" s="135" t="str">
        <v>years</v>
      </c>
      <c r="J83" s="135" t="str">
        <v>Median interval; main dated FASTA represents a dataset.</v>
      </c>
      <c r="K83" s="135" t="str">
        <v>Table S15; Fig. 5a</v>
      </c>
      <c r="L83" s="121"/>
    </row>
    <row r="84" ht="43" customHeight="1">
      <c r="A84" s="121"/>
      <c r="B84" s="134" t="str">
        <v>Software first appearance to public release</v>
      </c>
      <c r="C84" s="134" t="str">
        <v>10,466 datasets with recovered software-release timing</v>
      </c>
      <c r="D84" s="134" t="str">
        <v>Study cohort</v>
      </c>
      <c r="E84" s="141" t="n">
        <v>3.4</v>
      </c>
      <c r="F84" s="146" t="n">
        <v>3.3</v>
      </c>
      <c r="G84" s="146" t="n">
        <v>3.5</v>
      </c>
      <c r="H84" s="143" t="str">
        <v>95% interval</v>
      </c>
      <c r="I84" s="134" t="str">
        <v>years</v>
      </c>
      <c r="J84" s="134" t="str">
        <v>Median is a lower bound measured from first recorded PRIDE appearance.</v>
      </c>
      <c r="K84" s="134" t="str">
        <v>Table S11; Supplementary Fig. 5</v>
      </c>
      <c r="L84" s="121"/>
    </row>
    <row r="85" ht="43" customHeight="1">
      <c r="A85" s="121"/>
      <c r="B85" s="135" t="str">
        <v>Database date precedes latest measurement</v>
      </c>
      <c r="C85" s="135" t="str">
        <v>1,006 datasets with both relevant dates</v>
      </c>
      <c r="D85" s="135" t="str">
        <v>Study cohort</v>
      </c>
      <c r="E85" s="139" t="n">
        <v>71</v>
      </c>
      <c r="F85" s="144"/>
      <c r="G85" s="144"/>
      <c r="H85" s="145" t="str"/>
      <c r="I85" s="135" t="str">
        <v>% of paired datasets</v>
      </c>
      <c r="J85" s="135" t="str"/>
      <c r="K85" s="135" t="str">
        <v>Table S15; Fig. 5a</v>
      </c>
      <c r="L85" s="121"/>
    </row>
    <row r="86" ht="43" customHeight="1">
      <c r="A86" s="121"/>
      <c r="B86" s="134" t="str">
        <v>Software first appearance precedes latest measurement</v>
      </c>
      <c r="C86" s="134" t="str">
        <v>3,986 datasets with both relevant dates</v>
      </c>
      <c r="D86" s="134" t="str">
        <v>Study cohort</v>
      </c>
      <c r="E86" s="138" t="n">
        <v>79</v>
      </c>
      <c r="F86" s="142"/>
      <c r="G86" s="142"/>
      <c r="H86" s="143" t="str"/>
      <c r="I86" s="134" t="str">
        <v>% of paired datasets</v>
      </c>
      <c r="J86" s="134" t="str"/>
      <c r="K86" s="134" t="str">
        <v>Table S15; Fig. 5a</v>
      </c>
      <c r="L86" s="121"/>
    </row>
    <row r="87" ht="43" customHeight="1">
      <c r="A87" s="121"/>
      <c r="B87" s="135" t="str">
        <v>Days with clustered public releases</v>
      </c>
      <c r="C87" s="135" t="str">
        <v>At least 50 datasets made public on a day</v>
      </c>
      <c r="D87" s="135" t="str">
        <v>From October 2018 onwards</v>
      </c>
      <c r="E87" s="139" t="n">
        <v>62</v>
      </c>
      <c r="F87" s="144"/>
      <c r="G87" s="144"/>
      <c r="H87" s="145" t="str"/>
      <c r="I87" s="135" t="str">
        <v>days</v>
      </c>
      <c r="J87" s="135" t="str"/>
      <c r="K87" s="135" t="str">
        <v>Table S16; Supplementary Fig. 13</v>
      </c>
      <c r="L87" s="121"/>
    </row>
    <row r="88" ht="43" customHeight="1">
      <c r="A88" s="121"/>
      <c r="B88" s="134" t="str">
        <v>Median publication-to-release delay</v>
      </c>
      <c r="C88" s="134" t="str">
        <v>Days with at least 50 public releases</v>
      </c>
      <c r="D88" s="134" t="str">
        <v>From October 2018 onwards</v>
      </c>
      <c r="E88" s="138" t="n">
        <v>95</v>
      </c>
      <c r="F88" s="142"/>
      <c r="G88" s="142"/>
      <c r="H88" s="143" t="str"/>
      <c r="I88" s="134" t="str">
        <v>days</v>
      </c>
      <c r="J88" s="134" t="str">
        <v>Who set the release date is not recorded.</v>
      </c>
      <c r="K88" s="134" t="str">
        <v>Table S16; Supplementary Fig. 13</v>
      </c>
      <c r="L88" s="121"/>
    </row>
    <row r="89" ht="43" customHeight="1">
      <c r="A89" s="121"/>
      <c r="B89" s="135" t="str">
        <v>Median publication-to-release delay</v>
      </c>
      <c r="C89" s="135" t="str">
        <v>Other days</v>
      </c>
      <c r="D89" s="135" t="str">
        <v>From October 2018 onwards</v>
      </c>
      <c r="E89" s="139" t="n">
        <v>11</v>
      </c>
      <c r="F89" s="144"/>
      <c r="G89" s="144"/>
      <c r="H89" s="145" t="str"/>
      <c r="I89" s="135" t="str">
        <v>days</v>
      </c>
      <c r="J89" s="135" t="str">
        <v>Who set the release date is not recorded.</v>
      </c>
      <c r="K89" s="135" t="str">
        <v>Table S16; Supplementary Fig. 13</v>
      </c>
      <c r="L89" s="121"/>
    </row>
    <row r="90" ht="43" customHeight="1">
      <c r="A90" s="121"/>
      <c r="B90" s="134" t="str">
        <v>Papers in journals with proteom in title</v>
      </c>
      <c r="C90" s="134" t="str">
        <v>PRIDE-linked papers</v>
      </c>
      <c r="D90" s="134" t="str">
        <v>2013</v>
      </c>
      <c r="E90" s="138" t="n">
        <v>142</v>
      </c>
      <c r="F90" s="142"/>
      <c r="G90" s="142"/>
      <c r="H90" s="143" t="str"/>
      <c r="I90" s="134" t="str">
        <v>papers</v>
      </c>
      <c r="J90" s="134" t="str"/>
      <c r="K90" s="134" t="str">
        <v>Table S17; Fig. 5b,c</v>
      </c>
      <c r="L90" s="121"/>
    </row>
    <row r="91" ht="43" customHeight="1">
      <c r="A91" s="121"/>
      <c r="B91" s="135" t="str">
        <v>Papers in journals with proteom in title</v>
      </c>
      <c r="C91" s="135" t="str">
        <v>PRIDE-linked papers</v>
      </c>
      <c r="D91" s="135" t="str">
        <v>2025</v>
      </c>
      <c r="E91" s="139" t="n">
        <v>259</v>
      </c>
      <c r="F91" s="144"/>
      <c r="G91" s="144"/>
      <c r="H91" s="145" t="str"/>
      <c r="I91" s="135" t="str">
        <v>papers</v>
      </c>
      <c r="J91" s="135" t="str"/>
      <c r="K91" s="135" t="str">
        <v>Table S17; Fig. 5b,c</v>
      </c>
      <c r="L91" s="121"/>
    </row>
    <row r="92" ht="43" customHeight="1">
      <c r="A92" s="121"/>
      <c r="B92" s="134" t="str">
        <v>Top-ten journal concentration</v>
      </c>
      <c r="C92" s="134" t="str">
        <v>PRIDE-linked papers</v>
      </c>
      <c r="D92" s="134" t="str">
        <v>2013</v>
      </c>
      <c r="E92" s="138" t="n">
        <v>66</v>
      </c>
      <c r="F92" s="142"/>
      <c r="G92" s="142"/>
      <c r="H92" s="143" t="str"/>
      <c r="I92" s="134" t="str">
        <v>% of papers</v>
      </c>
      <c r="J92" s="134" t="str"/>
      <c r="K92" s="134" t="str">
        <v>Table S18; Fig. 5c</v>
      </c>
      <c r="L92" s="121"/>
    </row>
    <row r="93" ht="43" customHeight="1">
      <c r="A93" s="121"/>
      <c r="B93" s="135" t="str">
        <v>Top-ten journal concentration</v>
      </c>
      <c r="C93" s="135" t="str">
        <v>PRIDE-linked papers</v>
      </c>
      <c r="D93" s="135" t="str">
        <v>2025</v>
      </c>
      <c r="E93" s="139" t="n">
        <v>31</v>
      </c>
      <c r="F93" s="144"/>
      <c r="G93" s="144"/>
      <c r="H93" s="145" t="str"/>
      <c r="I93" s="135" t="str">
        <v>% of papers</v>
      </c>
      <c r="J93" s="135" t="str"/>
      <c r="K93" s="135" t="str">
        <v>Table S18; Fig. 5c</v>
      </c>
      <c r="L93" s="121"/>
    </row>
    <row r="94" ht="43" customHeight="1">
      <c r="A94" s="121"/>
      <c r="B94" s="134" t="str">
        <v>Chemistry research-field assignment</v>
      </c>
      <c r="C94" s="134" t="str">
        <v>Linked datasets with research-field assignment</v>
      </c>
      <c r="D94" s="134" t="str">
        <v>2013</v>
      </c>
      <c r="E94" s="138" t="n">
        <v>26</v>
      </c>
      <c r="F94" s="142"/>
      <c r="G94" s="142"/>
      <c r="H94" s="143" t="str"/>
      <c r="I94" s="134" t="str">
        <v>% of linked datasets</v>
      </c>
      <c r="J94" s="134" t="str">
        <v>Almost all chemistry assignments were spectroscopy.</v>
      </c>
      <c r="K94" s="134" t="str">
        <v>Supplementary Fig. 12; Gallery/data/36-research-fields-by-year.csv</v>
      </c>
      <c r="L94" s="121"/>
    </row>
    <row r="95" ht="43" customHeight="1">
      <c r="A95" s="121"/>
      <c r="B95" s="135" t="str">
        <v>Chemistry research-field assignment</v>
      </c>
      <c r="C95" s="135" t="str">
        <v>Linked datasets with research-field assignment</v>
      </c>
      <c r="D95" s="135" t="str">
        <v>2025</v>
      </c>
      <c r="E95" s="139" t="n">
        <v>6</v>
      </c>
      <c r="F95" s="144"/>
      <c r="G95" s="144"/>
      <c r="H95" s="145" t="str"/>
      <c r="I95" s="135" t="str">
        <v>% of linked datasets</v>
      </c>
      <c r="J95" s="135" t="str">
        <v>Almost all chemistry assignments were spectroscopy.</v>
      </c>
      <c r="K95" s="135" t="str">
        <v>Supplementary Fig. 12; Gallery/data/36-research-fields-by-year.csv</v>
      </c>
      <c r="L95" s="121"/>
    </row>
    <row r="96" ht="43" customHeight="1">
      <c r="A96" s="121"/>
      <c r="B96" s="134" t="str">
        <v>Medicine research-field assignment</v>
      </c>
      <c r="C96" s="134" t="str">
        <v>Linked datasets with research-field assignment</v>
      </c>
      <c r="D96" s="134" t="str">
        <v>2013</v>
      </c>
      <c r="E96" s="138" t="n">
        <v>18</v>
      </c>
      <c r="F96" s="142"/>
      <c r="G96" s="142"/>
      <c r="H96" s="143" t="str"/>
      <c r="I96" s="134" t="str">
        <v>% of linked datasets</v>
      </c>
      <c r="J96" s="134" t="str"/>
      <c r="K96" s="134" t="str">
        <v>Supplementary Fig. 12; Gallery/data/36-research-fields-by-year.csv</v>
      </c>
      <c r="L96" s="121"/>
    </row>
    <row r="97" ht="43" customHeight="1">
      <c r="A97" s="121"/>
      <c r="B97" s="135" t="str">
        <v>Medicine research-field assignment</v>
      </c>
      <c r="C97" s="135" t="str">
        <v>Linked datasets with research-field assignment</v>
      </c>
      <c r="D97" s="135" t="str">
        <v>2025</v>
      </c>
      <c r="E97" s="139" t="n">
        <v>29</v>
      </c>
      <c r="F97" s="144"/>
      <c r="G97" s="144"/>
      <c r="H97" s="145" t="str"/>
      <c r="I97" s="135" t="str">
        <v>% of linked datasets</v>
      </c>
      <c r="J97" s="135" t="str"/>
      <c r="K97" s="135" t="str">
        <v>Supplementary Fig. 12; Gallery/data/36-research-fields-by-year.csv</v>
      </c>
      <c r="L97" s="121"/>
    </row>
    <row r="98" ht="57" customHeight="1">
      <c r="A98" s="121"/>
      <c r="B98" s="134" t="str">
        <v>Qualifying mention analysis population</v>
      </c>
      <c r="C98" s="134" t="str">
        <v>Datasets released in 2013–2022</v>
      </c>
      <c r="D98" s="134" t="str">
        <v>Release calendar year and next three calendar years</v>
      </c>
      <c r="E98" s="138" t="n">
        <v>20684</v>
      </c>
      <c r="F98" s="142"/>
      <c r="G98" s="142"/>
      <c r="H98" s="143" t="str"/>
      <c r="I98" s="134" t="str">
        <v>datasets</v>
      </c>
      <c r="J98" s="134" t="str">
        <v>Mentioning paper is not primary reference, names at least 2 contributor groups and no more than 100 datasets. Same-year chronology is unresolved.</v>
      </c>
      <c r="K98" s="134" t="str">
        <v>Table S19; Methods</v>
      </c>
      <c r="L98" s="121"/>
    </row>
    <row r="99" ht="43" customHeight="1">
      <c r="A99" s="121"/>
      <c r="B99" s="135" t="str">
        <v>Extended-window standard-file rate ratio</v>
      </c>
      <c r="C99" s="135" t="str">
        <v>2013–2020 releases; 11,741 datasets</v>
      </c>
      <c r="D99" s="135" t="str">
        <v>Release calendar year and next five calendar years</v>
      </c>
      <c r="E99" s="140" t="n">
        <v>1.04</v>
      </c>
      <c r="F99" s="149" t="n">
        <v>0.73</v>
      </c>
      <c r="G99" s="149" t="n">
        <v>1.4</v>
      </c>
      <c r="H99" s="145" t="str">
        <v>95% interval</v>
      </c>
      <c r="I99" s="135" t="str">
        <v>unadjusted rate ratio</v>
      </c>
      <c r="J99" s="135" t="str"/>
      <c r="K99" s="135" t="str">
        <v>Table S20; Supplementary Methods</v>
      </c>
      <c r="L99" s="121"/>
    </row>
    <row r="100" ht="57" customHeight="1">
      <c r="A100" s="121"/>
      <c r="B100" s="134" t="str">
        <v>Restricted-cohort standard-file rate ratio</v>
      </c>
      <c r="C100" s="134" t="str">
        <v>4,399 human datasets; Thermo Fisher only; no DIA detected; MaxQuant or Proteome Discoverer</v>
      </c>
      <c r="D100" s="134" t="str">
        <v>2013–2022 releases; main mention window</v>
      </c>
      <c r="E100" s="141" t="n">
        <v>0.74</v>
      </c>
      <c r="F100" s="146" t="n">
        <v>0.28</v>
      </c>
      <c r="G100" s="146" t="n">
        <v>1.3</v>
      </c>
      <c r="H100" s="143" t="str">
        <v>95% interval</v>
      </c>
      <c r="I100" s="134" t="str">
        <v>unadjusted rate ratio</v>
      </c>
      <c r="J100" s="134" t="str">
        <v>These restrictions do not establish raw-file presence or confirm DDA.</v>
      </c>
      <c r="K100" s="134" t="str">
        <v>Table S20; Supplementary Methods</v>
      </c>
      <c r="L100" s="121"/>
    </row>
    <row r="101" ht="43" customHeight="1">
      <c r="A101" s="121"/>
      <c r="B101" s="135" t="str">
        <v>SDRF datasets released before format existed</v>
      </c>
      <c r="C101" s="135" t="str">
        <v>205 SDRF datasets in the mention-model cohort</v>
      </c>
      <c r="D101" s="135" t="str">
        <v>Release before availability of the SDRF format</v>
      </c>
      <c r="E101" s="139" t="n">
        <v>91</v>
      </c>
      <c r="F101" s="144"/>
      <c r="G101" s="144"/>
      <c r="H101" s="145" t="str"/>
      <c r="I101" s="135" t="str">
        <v>datasets</v>
      </c>
      <c r="J101" s="135" t="str">
        <v>Files added later, often through reanalysis projects; temporal direction of the association is unresolved.</v>
      </c>
      <c r="K101" s="135" t="str">
        <v>Table S20; Findings-ledger.md</v>
      </c>
      <c r="L101" s="121"/>
    </row>
    <row r="102" ht="2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</row>
    <row r="103" ht="2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</row>
    <row r="104" ht="25" customHeight="1">
      <c r="A104" s="121"/>
      <c r="B104" s="123" t="str">
        <v>Definition and provenance</v>
      </c>
      <c r="C104" s="123"/>
      <c r="D104" s="123"/>
      <c r="E104" s="121"/>
      <c r="F104" s="121"/>
      <c r="G104" s="121"/>
      <c r="H104" s="121"/>
      <c r="I104" s="121"/>
      <c r="J104" s="121"/>
      <c r="K104" s="121"/>
      <c r="L104" s="121"/>
    </row>
    <row r="105" ht="70" customHeight="1">
      <c r="A105" s="121"/>
      <c r="B105" s="127" t="str">
        <v>Reported comparisons supporting the Results. Values retain manuscript rounding; source tables retain full precision. Bounds are explicitly labelled as 95% intervals or observed/estimated ranges. Blank bounds mean no interval was reported here, not zero uncertainty. This is a curated reporting table, not a new analysis.</v>
      </c>
      <c r="C105" s="127"/>
      <c r="D105" s="127"/>
      <c r="E105" s="121"/>
      <c r="F105" s="121"/>
      <c r="G105" s="121"/>
      <c r="H105" s="121"/>
      <c r="I105" s="121"/>
      <c r="J105" s="121"/>
      <c r="K105" s="121"/>
      <c r="L105" s="121"/>
    </row>
    <row r="106" ht="2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</row>
    <row r="107" ht="2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</row>
    <row r="108" ht="2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</row>
    <row r="109" ht="2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</row>
    <row r="110" ht="2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</row>
    <row r="111" ht="2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</row>
    <row r="112" ht="2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</row>
    <row r="113" ht="2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</row>
  </sheetData>
  <mergeCells>
    <mergeCell ref="B2:D2"/>
    <mergeCell ref="B3:D3"/>
    <mergeCell ref="B4:D4"/>
    <mergeCell ref="B104:D104"/>
    <mergeCell ref="B105:D105"/>
  </mergeCells>
  <hyperlinks>
    <hyperlink ref="B6" location="'Contents'!B2"/>
  </hyperlinks>
  <pageMargins left="0.25" right="0.25" top="0.4" bottom="0.4" header="0.15" footer="0.15"/>
  <pageSetup orientation="landscape" paperSize="8" fitToWidth="1" fitToHeight="0"/>
  <tableParts count="1">
    <tablePart ns1:id="Rbc9541fcab6f4b64"/>
  </tableParts>
</worksheet>
</file>